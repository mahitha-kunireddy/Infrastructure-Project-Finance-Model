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Return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%"/>
    <numFmt numFmtId="166" formatCode="#,##0.00;\(#,##0.00\);\-"/>
    <numFmt numFmtId="167" formatCode="0.000"/>
    <numFmt numFmtId="168" formatCode="0.00\x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1"/>
    </font>
  </fonts>
  <fills count="7">
    <fill>
      <patternFill/>
    </fill>
    <fill>
      <patternFill patternType="gray125"/>
    </fill>
    <fill>
      <patternFill patternType="solid">
        <fgColor rgb="FF1F1F1F"/>
        <bgColor rgb="FF003300"/>
      </patternFill>
    </fill>
    <fill>
      <patternFill patternType="solid">
        <fgColor rgb="FF404040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164" fontId="7" fillId="6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0" fontId="10" fillId="4" borderId="1" applyAlignment="1" pivotButton="0" quotePrefix="0" xfId="0">
      <alignment horizontal="general" vertical="bottom"/>
    </xf>
    <xf numFmtId="10" fontId="10" fillId="0" borderId="1" applyAlignment="1" pivotButton="0" quotePrefix="0" xfId="0">
      <alignment horizontal="general" vertical="bottom"/>
    </xf>
    <xf numFmtId="168" fontId="10" fillId="4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165" fontId="7" fillId="5" borderId="0" applyAlignment="1" pivotButton="0" quotePrefix="0" xfId="0">
      <alignment horizontal="center" vertical="bottom"/>
    </xf>
    <xf numFmtId="165" fontId="7" fillId="5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0" fontId="7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164" fontId="7" fillId="6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0" fontId="10" fillId="4" borderId="1" applyAlignment="1" pivotButton="0" quotePrefix="0" xfId="0">
      <alignment horizontal="general" vertical="bottom"/>
    </xf>
    <xf numFmtId="10" fontId="10" fillId="0" borderId="1" applyAlignment="1" pivotButton="0" quotePrefix="0" xfId="0">
      <alignment horizontal="general" vertical="bottom"/>
    </xf>
    <xf numFmtId="168" fontId="10" fillId="4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165" fontId="7" fillId="5" borderId="0" applyAlignment="1" pivotButton="0" quotePrefix="0" xfId="0">
      <alignment horizontal="center" vertical="bottom"/>
    </xf>
    <xf numFmtId="165" fontId="7" fillId="5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E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8" min="1" max="1"/>
    <col width="46" customWidth="1" style="38" min="2" max="2"/>
    <col width="16" customWidth="1" style="38" min="3" max="3"/>
    <col width="12" customWidth="1" style="38" min="4" max="4"/>
    <col width="58" customWidth="1" style="38" min="5" max="5"/>
  </cols>
  <sheetData>
    <row r="2" ht="24" customHeight="1" s="39">
      <c r="B2" s="40" t="inlineStr">
        <is>
          <t>TOLL ROAD BOT CONCESSION — PROJECT FINANCE MODEL</t>
        </is>
      </c>
      <c r="C2" s="41" t="n"/>
      <c r="D2" s="41" t="n"/>
      <c r="E2" s="41" t="n"/>
    </row>
    <row r="3" ht="15" customHeight="1" s="39">
      <c r="B3" s="42" t="inlineStr">
        <is>
          <t>Blue = input cell (edit these)   |   Black = formula   |   Yellow = key assumption driving returns</t>
        </is>
      </c>
    </row>
    <row r="5" ht="15" customHeight="1" s="39">
      <c r="B5" s="43" t="inlineStr">
        <is>
          <t>PROJECT &amp; TIMELINE</t>
        </is>
      </c>
      <c r="C5" s="44" t="n"/>
      <c r="D5" s="44" t="n"/>
      <c r="E5" s="44" t="n"/>
    </row>
    <row r="6" ht="15" customHeight="1" s="39">
      <c r="B6" s="45" t="inlineStr">
        <is>
          <t>Concession length — construction</t>
        </is>
      </c>
      <c r="C6" s="46" t="n">
        <v>2</v>
      </c>
      <c r="D6" s="42" t="inlineStr">
        <is>
          <t>years</t>
        </is>
      </c>
      <c r="E6" s="42" t="inlineStr">
        <is>
          <t>Typical 2-3 yr build for a 4-lane highway package</t>
        </is>
      </c>
    </row>
    <row r="7" ht="15" customHeight="1" s="39">
      <c r="B7" s="45" t="inlineStr">
        <is>
          <t>Concession length — operations</t>
        </is>
      </c>
      <c r="C7" s="46" t="n">
        <v>20</v>
      </c>
      <c r="D7" s="42" t="inlineStr">
        <is>
          <t>years</t>
        </is>
      </c>
      <c r="E7" s="42" t="inlineStr">
        <is>
          <t>NHAI BOT concessions commonly run 15-30 yrs post-COD</t>
        </is>
      </c>
    </row>
    <row r="8" ht="15" customHeight="1" s="39">
      <c r="B8" s="45" t="inlineStr">
        <is>
          <t>Highway length</t>
        </is>
      </c>
      <c r="C8" s="46" t="n">
        <v>60</v>
      </c>
      <c r="D8" s="42" t="inlineStr">
        <is>
          <t>km</t>
        </is>
      </c>
      <c r="E8" s="42" t="inlineStr">
        <is>
          <t>Placeholder — set from the concession agreement</t>
        </is>
      </c>
    </row>
    <row r="10" ht="15" customHeight="1" s="39">
      <c r="B10" s="43" t="inlineStr">
        <is>
          <t>CAPITAL COST</t>
        </is>
      </c>
      <c r="C10" s="44" t="n"/>
      <c r="D10" s="44" t="n"/>
      <c r="E10" s="44" t="n"/>
    </row>
    <row r="11" ht="15" customHeight="1" s="39">
      <c r="B11" s="45" t="inlineStr">
        <is>
          <t>Base construction cost per km</t>
        </is>
      </c>
      <c r="C11" s="47" t="n">
        <v>95</v>
      </c>
      <c r="D11" s="42" t="inlineStr">
        <is>
          <t>INR mn/km</t>
        </is>
      </c>
      <c r="E11" s="42" t="inlineStr">
        <is>
          <t>ILLUSTRATIVE. Source from NHAI bid/NIP docs.</t>
        </is>
      </c>
    </row>
    <row r="12" ht="15" customHeight="1" s="39">
      <c r="B12" s="45" t="inlineStr">
        <is>
          <t>Total project cost</t>
        </is>
      </c>
      <c r="C12" s="48">
        <f>C8*C11</f>
        <v/>
      </c>
      <c r="D12" s="42" t="inlineStr">
        <is>
          <t>INR mn</t>
        </is>
      </c>
      <c r="E12" s="42" t="inlineStr">
        <is>
          <t>Length x cost per km</t>
        </is>
      </c>
    </row>
    <row r="13" ht="15" customHeight="1" s="39">
      <c r="B13" s="45" t="inlineStr">
        <is>
          <t>Capex split — construction year 1</t>
        </is>
      </c>
      <c r="C13" s="49" t="n">
        <v>0.45</v>
      </c>
      <c r="D13" s="42" t="n"/>
      <c r="E13" s="42" t="inlineStr">
        <is>
          <t>Drawdown profile across the build period</t>
        </is>
      </c>
    </row>
    <row r="14" ht="15" customHeight="1" s="39">
      <c r="B14" s="45" t="inlineStr">
        <is>
          <t>Contingency on base cost</t>
        </is>
      </c>
      <c r="C14" s="50" t="n">
        <v>0.05</v>
      </c>
      <c r="D14" s="42" t="n"/>
      <c r="E14" s="42" t="inlineStr">
        <is>
          <t>Cost overrun buffer</t>
        </is>
      </c>
    </row>
    <row r="16" ht="15" customHeight="1" s="39">
      <c r="B16" s="43" t="inlineStr">
        <is>
          <t>TRAFFIC &amp; TARIFF</t>
        </is>
      </c>
      <c r="C16" s="44" t="n"/>
      <c r="D16" s="44" t="n"/>
      <c r="E16" s="44" t="n"/>
    </row>
    <row r="17" ht="15" customHeight="1" s="39">
      <c r="B17" s="45" t="inlineStr">
        <is>
          <t>Opening year traffic (AADT)</t>
        </is>
      </c>
      <c r="C17" s="51" t="n">
        <v>24000</v>
      </c>
      <c r="D17" s="42" t="inlineStr">
        <is>
          <t>vehicles/day</t>
        </is>
      </c>
      <c r="E17" s="42" t="inlineStr">
        <is>
          <t>Annual Average Daily Traffic, all vehicle classes (PCU)</t>
        </is>
      </c>
    </row>
    <row r="18" ht="15" customHeight="1" s="39">
      <c r="B18" s="45" t="inlineStr">
        <is>
          <t>Traffic CAGR</t>
        </is>
      </c>
      <c r="C18" s="49" t="n">
        <v>0.055</v>
      </c>
      <c r="D18" s="42" t="n"/>
      <c r="E18" s="42" t="inlineStr">
        <is>
          <t>ILLUSTRATIVE. Ties to regional GDP/freight growth.</t>
        </is>
      </c>
    </row>
    <row r="19" ht="15" customHeight="1" s="39">
      <c r="B19" s="45" t="inlineStr">
        <is>
          <t>Traffic ramp-up — year 1 of ops</t>
        </is>
      </c>
      <c r="C19" s="50" t="n">
        <v>0.75</v>
      </c>
      <c r="D19" s="42" t="n"/>
      <c r="E19" s="42" t="inlineStr">
        <is>
          <t>Traffic builds to full run-rate over first 2-3 yrs</t>
        </is>
      </c>
    </row>
    <row r="20" ht="15" customHeight="1" s="39">
      <c r="B20" s="45" t="inlineStr">
        <is>
          <t>Traffic ramp-up — year 2 of ops</t>
        </is>
      </c>
      <c r="C20" s="50" t="n">
        <v>0.9</v>
      </c>
      <c r="D20" s="42" t="n"/>
      <c r="E20" s="42" t="n"/>
    </row>
    <row r="21" ht="15" customHeight="1" s="39">
      <c r="B21" s="45" t="inlineStr">
        <is>
          <t>Blended toll per vehicle (opening)</t>
        </is>
      </c>
      <c r="C21" s="52" t="n">
        <v>115</v>
      </c>
      <c r="D21" s="42" t="inlineStr">
        <is>
          <t>INR/trip</t>
        </is>
      </c>
      <c r="E21" s="42" t="inlineStr">
        <is>
          <t>Weighted across car/LCV/truck mix</t>
        </is>
      </c>
    </row>
    <row r="22" ht="15" customHeight="1" s="39">
      <c r="B22" s="45" t="inlineStr">
        <is>
          <t>Annual toll escalation</t>
        </is>
      </c>
      <c r="C22" s="49" t="n">
        <v>0.04</v>
      </c>
      <c r="D22" s="42" t="n"/>
      <c r="E22" s="42" t="inlineStr">
        <is>
          <t>NHAI formula: ~3% + 40% of WPI inflation</t>
        </is>
      </c>
    </row>
    <row r="23" ht="15" customHeight="1" s="39">
      <c r="B23" s="45" t="inlineStr">
        <is>
          <t>Toll leakage / exemptions</t>
        </is>
      </c>
      <c r="C23" s="50" t="n">
        <v>0.07000000000000001</v>
      </c>
      <c r="D23" s="42" t="n"/>
      <c r="E23" s="42" t="inlineStr">
        <is>
          <t>Local exempt traffic, evasion, FASTag failures</t>
        </is>
      </c>
    </row>
    <row r="25" ht="15" customHeight="1" s="39">
      <c r="B25" s="43" t="inlineStr">
        <is>
          <t>OPERATING COST</t>
        </is>
      </c>
      <c r="C25" s="44" t="n"/>
      <c r="D25" s="44" t="n"/>
      <c r="E25" s="44" t="n"/>
    </row>
    <row r="26" ht="15" customHeight="1" s="39">
      <c r="B26" s="45" t="inlineStr">
        <is>
          <t>Routine O&amp;M — year 1 of ops</t>
        </is>
      </c>
      <c r="C26" s="47" t="n">
        <v>210</v>
      </c>
      <c r="D26" s="42" t="inlineStr">
        <is>
          <t>INR mn</t>
        </is>
      </c>
      <c r="E26" s="42" t="inlineStr">
        <is>
          <t>Patrolling, toll plaza staffing, minor repairs</t>
        </is>
      </c>
    </row>
    <row r="27" ht="15" customHeight="1" s="39">
      <c r="B27" s="45" t="inlineStr">
        <is>
          <t>O&amp;M cost inflation</t>
        </is>
      </c>
      <c r="C27" s="50" t="n">
        <v>0.055</v>
      </c>
      <c r="D27" s="42" t="n"/>
      <c r="E27" s="42" t="n"/>
    </row>
    <row r="28" ht="15" customHeight="1" s="39">
      <c r="B28" s="45" t="inlineStr">
        <is>
          <t>Major maintenance cycle</t>
        </is>
      </c>
      <c r="C28" s="46" t="n">
        <v>5</v>
      </c>
      <c r="D28" s="42" t="inlineStr">
        <is>
          <t>years</t>
        </is>
      </c>
      <c r="E28" s="42" t="inlineStr">
        <is>
          <t>Periodic resurfacing / overlay</t>
        </is>
      </c>
    </row>
    <row r="29" ht="15" customHeight="1" s="39">
      <c r="B29" s="45" t="inlineStr">
        <is>
          <t>Major maintenance cost (per event)</t>
        </is>
      </c>
      <c r="C29" s="47" t="n">
        <v>720</v>
      </c>
      <c r="D29" s="42" t="inlineStr">
        <is>
          <t>INR mn</t>
        </is>
      </c>
      <c r="E29" s="42" t="inlineStr">
        <is>
          <t>Bituminous overlay across full length</t>
        </is>
      </c>
    </row>
    <row r="31" ht="15" customHeight="1" s="39">
      <c r="B31" s="43" t="inlineStr">
        <is>
          <t>FINANCING &amp; TAX</t>
        </is>
      </c>
      <c r="C31" s="44" t="n"/>
      <c r="D31" s="44" t="n"/>
      <c r="E31" s="44" t="n"/>
    </row>
    <row r="32" ht="15" customHeight="1" s="39">
      <c r="B32" s="45" t="inlineStr">
        <is>
          <t>Debt share of project cost</t>
        </is>
      </c>
      <c r="C32" s="49" t="n">
        <v>0.7</v>
      </c>
      <c r="D32" s="42" t="n"/>
      <c r="E32" s="42" t="inlineStr">
        <is>
          <t>70:30 D/E is standard for Indian BOT/HAM</t>
        </is>
      </c>
    </row>
    <row r="33" ht="15" customHeight="1" s="39">
      <c r="B33" s="45" t="inlineStr">
        <is>
          <t>Interest rate on debt</t>
        </is>
      </c>
      <c r="C33" s="49" t="n">
        <v>0.095</v>
      </c>
      <c r="D33" s="42" t="n"/>
      <c r="E33" s="42" t="inlineStr">
        <is>
          <t>ILLUSTRATIVE. Set from term sheet.</t>
        </is>
      </c>
    </row>
    <row r="34" ht="15" customHeight="1" s="39">
      <c r="B34" s="45" t="inlineStr">
        <is>
          <t>Debt tenor (post-COD)</t>
        </is>
      </c>
      <c r="C34" s="46" t="n">
        <v>15</v>
      </c>
      <c r="D34" s="42" t="inlineStr">
        <is>
          <t>years</t>
        </is>
      </c>
      <c r="E34" s="42" t="inlineStr">
        <is>
          <t>Amortising term loan</t>
        </is>
      </c>
    </row>
    <row r="35" ht="15" customHeight="1" s="39">
      <c r="B35" s="45" t="inlineStr">
        <is>
          <t>Principal moratorium (post-COD)</t>
        </is>
      </c>
      <c r="C35" s="46" t="n">
        <v>2</v>
      </c>
      <c r="D35" s="42" t="inlineStr">
        <is>
          <t>years</t>
        </is>
      </c>
      <c r="E35" s="42" t="inlineStr">
        <is>
          <t>Standard in BOT — principal holiday during traffic ramp-up</t>
        </is>
      </c>
    </row>
    <row r="36" ht="15" customHeight="1" s="39">
      <c r="B36" s="45" t="inlineStr">
        <is>
          <t>Corporate tax rate</t>
        </is>
      </c>
      <c r="C36" s="50" t="n">
        <v>0.25</v>
      </c>
      <c r="D36" s="42" t="n"/>
      <c r="E36" s="42" t="inlineStr">
        <is>
          <t>India headline corporate rate (Sec 115BAA regime)</t>
        </is>
      </c>
    </row>
    <row r="37" ht="15" customHeight="1" s="39">
      <c r="B37" s="45" t="inlineStr">
        <is>
          <t>Depreciation life (SLM)</t>
        </is>
      </c>
      <c r="C37" s="46" t="n">
        <v>20</v>
      </c>
      <c r="D37" s="42" t="inlineStr">
        <is>
          <t>years</t>
        </is>
      </c>
      <c r="E37" s="42" t="inlineStr">
        <is>
          <t>Straight line over concession</t>
        </is>
      </c>
    </row>
    <row r="38" ht="15" customHeight="1" s="39">
      <c r="B38" s="45" t="inlineStr">
        <is>
          <t>Discount rate (WACC)</t>
        </is>
      </c>
      <c r="C38" s="49" t="n">
        <v>0.11</v>
      </c>
      <c r="D38" s="42" t="n"/>
      <c r="E38" s="42" t="inlineStr">
        <is>
          <t>Blended cost of capital</t>
        </is>
      </c>
    </row>
    <row r="39" ht="15" customHeight="1" s="39">
      <c r="B39" s="45" t="inlineStr">
        <is>
          <t>Cost of equity</t>
        </is>
      </c>
      <c r="C39" s="49" t="n">
        <v>0.15</v>
      </c>
      <c r="D39" s="42" t="n"/>
      <c r="E39" s="42" t="inlineStr">
        <is>
          <t>Used for equity IRR benchmarking</t>
        </is>
      </c>
    </row>
    <row r="42" ht="15" customHeight="1" s="39">
      <c r="B42" s="42" t="inlineStr">
        <is>
          <t>NOTE: every figure above is an illustrative placeholder. Replace with sourced values from a concession agreement, NHAI bid document or NIP project record before presenting this model.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X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8" min="1" max="1"/>
    <col width="38" customWidth="1" style="38" min="2" max="2"/>
    <col width="11" customWidth="1" style="38" min="3" max="24"/>
  </cols>
  <sheetData>
    <row r="2" ht="24" customHeight="1" s="39">
      <c r="B2" s="40" t="inlineStr">
        <is>
          <t>CASH FLOW PROJECTION  (INR mn)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</row>
    <row r="4" ht="15" customHeight="1" s="39">
      <c r="B4" s="43" t="inlineStr">
        <is>
          <t>Year</t>
        </is>
      </c>
      <c r="C4" s="53" t="inlineStr">
        <is>
          <t>1</t>
        </is>
      </c>
      <c r="D4" s="53" t="inlineStr">
        <is>
          <t>2</t>
        </is>
      </c>
      <c r="E4" s="53" t="inlineStr">
        <is>
          <t>3</t>
        </is>
      </c>
      <c r="F4" s="53" t="inlineStr">
        <is>
          <t>4</t>
        </is>
      </c>
      <c r="G4" s="53" t="inlineStr">
        <is>
          <t>5</t>
        </is>
      </c>
      <c r="H4" s="53" t="inlineStr">
        <is>
          <t>6</t>
        </is>
      </c>
      <c r="I4" s="53" t="inlineStr">
        <is>
          <t>7</t>
        </is>
      </c>
      <c r="J4" s="53" t="inlineStr">
        <is>
          <t>8</t>
        </is>
      </c>
      <c r="K4" s="53" t="inlineStr">
        <is>
          <t>9</t>
        </is>
      </c>
      <c r="L4" s="53" t="inlineStr">
        <is>
          <t>10</t>
        </is>
      </c>
      <c r="M4" s="53" t="inlineStr">
        <is>
          <t>11</t>
        </is>
      </c>
      <c r="N4" s="53" t="inlineStr">
        <is>
          <t>12</t>
        </is>
      </c>
      <c r="O4" s="53" t="inlineStr">
        <is>
          <t>13</t>
        </is>
      </c>
      <c r="P4" s="53" t="inlineStr">
        <is>
          <t>14</t>
        </is>
      </c>
      <c r="Q4" s="53" t="inlineStr">
        <is>
          <t>15</t>
        </is>
      </c>
      <c r="R4" s="53" t="inlineStr">
        <is>
          <t>16</t>
        </is>
      </c>
      <c r="S4" s="53" t="inlineStr">
        <is>
          <t>17</t>
        </is>
      </c>
      <c r="T4" s="53" t="inlineStr">
        <is>
          <t>18</t>
        </is>
      </c>
      <c r="U4" s="53" t="inlineStr">
        <is>
          <t>19</t>
        </is>
      </c>
      <c r="V4" s="53" t="inlineStr">
        <is>
          <t>20</t>
        </is>
      </c>
      <c r="W4" s="53" t="inlineStr">
        <is>
          <t>21</t>
        </is>
      </c>
      <c r="X4" s="53" t="inlineStr">
        <is>
          <t>22</t>
        </is>
      </c>
    </row>
    <row r="5" ht="15" customHeight="1" s="39">
      <c r="B5" s="43" t="inlineStr">
        <is>
          <t>Phase</t>
        </is>
      </c>
      <c r="C5" s="54" t="inlineStr">
        <is>
          <t>Build</t>
        </is>
      </c>
      <c r="D5" s="54" t="inlineStr">
        <is>
          <t>Build</t>
        </is>
      </c>
      <c r="E5" s="54" t="inlineStr">
        <is>
          <t>Operate</t>
        </is>
      </c>
      <c r="F5" s="54" t="inlineStr">
        <is>
          <t>Operate</t>
        </is>
      </c>
      <c r="G5" s="54" t="inlineStr">
        <is>
          <t>Operate</t>
        </is>
      </c>
      <c r="H5" s="54" t="inlineStr">
        <is>
          <t>Operate</t>
        </is>
      </c>
      <c r="I5" s="54" t="inlineStr">
        <is>
          <t>Operate</t>
        </is>
      </c>
      <c r="J5" s="54" t="inlineStr">
        <is>
          <t>Operate</t>
        </is>
      </c>
      <c r="K5" s="54" t="inlineStr">
        <is>
          <t>Operate</t>
        </is>
      </c>
      <c r="L5" s="54" t="inlineStr">
        <is>
          <t>Operate</t>
        </is>
      </c>
      <c r="M5" s="54" t="inlineStr">
        <is>
          <t>Operate</t>
        </is>
      </c>
      <c r="N5" s="54" t="inlineStr">
        <is>
          <t>Operate</t>
        </is>
      </c>
      <c r="O5" s="54" t="inlineStr">
        <is>
          <t>Operate</t>
        </is>
      </c>
      <c r="P5" s="54" t="inlineStr">
        <is>
          <t>Operate</t>
        </is>
      </c>
      <c r="Q5" s="54" t="inlineStr">
        <is>
          <t>Operate</t>
        </is>
      </c>
      <c r="R5" s="54" t="inlineStr">
        <is>
          <t>Operate</t>
        </is>
      </c>
      <c r="S5" s="54" t="inlineStr">
        <is>
          <t>Operate</t>
        </is>
      </c>
      <c r="T5" s="54" t="inlineStr">
        <is>
          <t>Operate</t>
        </is>
      </c>
      <c r="U5" s="54" t="inlineStr">
        <is>
          <t>Operate</t>
        </is>
      </c>
      <c r="V5" s="54" t="inlineStr">
        <is>
          <t>Operate</t>
        </is>
      </c>
      <c r="W5" s="54" t="inlineStr">
        <is>
          <t>Operate</t>
        </is>
      </c>
      <c r="X5" s="54" t="inlineStr">
        <is>
          <t>Operate</t>
        </is>
      </c>
    </row>
    <row r="7" ht="15" customHeight="1" s="39">
      <c r="B7" s="55" t="inlineStr">
        <is>
          <t>OPERATIONS</t>
        </is>
      </c>
    </row>
    <row r="8" ht="15" customHeight="1" s="39">
      <c r="B8" s="56" t="inlineStr">
        <is>
          <t>Traffic (AADT, vehicles/day)</t>
        </is>
      </c>
      <c r="C8" s="57" t="n">
        <v>0</v>
      </c>
      <c r="D8" s="57" t="n">
        <v>0</v>
      </c>
      <c r="E8" s="57">
        <f>Assumptions!$C$17*(1+Assumptions!$C$18)^0*Assumptions!$C$19</f>
        <v/>
      </c>
      <c r="F8" s="57">
        <f>Assumptions!$C$17*(1+Assumptions!$C$18)^1*Assumptions!$C$20</f>
        <v/>
      </c>
      <c r="G8" s="57">
        <f>Assumptions!$C$17*(1+Assumptions!$C$18)^2*1</f>
        <v/>
      </c>
      <c r="H8" s="57">
        <f>Assumptions!$C$17*(1+Assumptions!$C$18)^3*1</f>
        <v/>
      </c>
      <c r="I8" s="57">
        <f>Assumptions!$C$17*(1+Assumptions!$C$18)^4*1</f>
        <v/>
      </c>
      <c r="J8" s="57">
        <f>Assumptions!$C$17*(1+Assumptions!$C$18)^5*1</f>
        <v/>
      </c>
      <c r="K8" s="57">
        <f>Assumptions!$C$17*(1+Assumptions!$C$18)^6*1</f>
        <v/>
      </c>
      <c r="L8" s="57">
        <f>Assumptions!$C$17*(1+Assumptions!$C$18)^7*1</f>
        <v/>
      </c>
      <c r="M8" s="57">
        <f>Assumptions!$C$17*(1+Assumptions!$C$18)^8*1</f>
        <v/>
      </c>
      <c r="N8" s="57">
        <f>Assumptions!$C$17*(1+Assumptions!$C$18)^9*1</f>
        <v/>
      </c>
      <c r="O8" s="57">
        <f>Assumptions!$C$17*(1+Assumptions!$C$18)^10*1</f>
        <v/>
      </c>
      <c r="P8" s="57">
        <f>Assumptions!$C$17*(1+Assumptions!$C$18)^11*1</f>
        <v/>
      </c>
      <c r="Q8" s="57">
        <f>Assumptions!$C$17*(1+Assumptions!$C$18)^12*1</f>
        <v/>
      </c>
      <c r="R8" s="57">
        <f>Assumptions!$C$17*(1+Assumptions!$C$18)^13*1</f>
        <v/>
      </c>
      <c r="S8" s="57">
        <f>Assumptions!$C$17*(1+Assumptions!$C$18)^14*1</f>
        <v/>
      </c>
      <c r="T8" s="57">
        <f>Assumptions!$C$17*(1+Assumptions!$C$18)^15*1</f>
        <v/>
      </c>
      <c r="U8" s="57">
        <f>Assumptions!$C$17*(1+Assumptions!$C$18)^16*1</f>
        <v/>
      </c>
      <c r="V8" s="57">
        <f>Assumptions!$C$17*(1+Assumptions!$C$18)^17*1</f>
        <v/>
      </c>
      <c r="W8" s="57">
        <f>Assumptions!$C$17*(1+Assumptions!$C$18)^18*1</f>
        <v/>
      </c>
      <c r="X8" s="57">
        <f>Assumptions!$C$17*(1+Assumptions!$C$18)^19*1</f>
        <v/>
      </c>
    </row>
    <row r="9" ht="15" customHeight="1" s="39">
      <c r="B9" s="56" t="inlineStr">
        <is>
          <t>Blended toll (INR/trip)</t>
        </is>
      </c>
      <c r="C9" s="58" t="n">
        <v>0</v>
      </c>
      <c r="D9" s="58" t="n">
        <v>0</v>
      </c>
      <c r="E9" s="58">
        <f>Assumptions!$C$21*(1+Assumptions!$C$22)^0</f>
        <v/>
      </c>
      <c r="F9" s="58">
        <f>Assumptions!$C$21*(1+Assumptions!$C$22)^1</f>
        <v/>
      </c>
      <c r="G9" s="58">
        <f>Assumptions!$C$21*(1+Assumptions!$C$22)^2</f>
        <v/>
      </c>
      <c r="H9" s="58">
        <f>Assumptions!$C$21*(1+Assumptions!$C$22)^3</f>
        <v/>
      </c>
      <c r="I9" s="58">
        <f>Assumptions!$C$21*(1+Assumptions!$C$22)^4</f>
        <v/>
      </c>
      <c r="J9" s="58">
        <f>Assumptions!$C$21*(1+Assumptions!$C$22)^5</f>
        <v/>
      </c>
      <c r="K9" s="58">
        <f>Assumptions!$C$21*(1+Assumptions!$C$22)^6</f>
        <v/>
      </c>
      <c r="L9" s="58">
        <f>Assumptions!$C$21*(1+Assumptions!$C$22)^7</f>
        <v/>
      </c>
      <c r="M9" s="58">
        <f>Assumptions!$C$21*(1+Assumptions!$C$22)^8</f>
        <v/>
      </c>
      <c r="N9" s="58">
        <f>Assumptions!$C$21*(1+Assumptions!$C$22)^9</f>
        <v/>
      </c>
      <c r="O9" s="58">
        <f>Assumptions!$C$21*(1+Assumptions!$C$22)^10</f>
        <v/>
      </c>
      <c r="P9" s="58">
        <f>Assumptions!$C$21*(1+Assumptions!$C$22)^11</f>
        <v/>
      </c>
      <c r="Q9" s="58">
        <f>Assumptions!$C$21*(1+Assumptions!$C$22)^12</f>
        <v/>
      </c>
      <c r="R9" s="58">
        <f>Assumptions!$C$21*(1+Assumptions!$C$22)^13</f>
        <v/>
      </c>
      <c r="S9" s="58">
        <f>Assumptions!$C$21*(1+Assumptions!$C$22)^14</f>
        <v/>
      </c>
      <c r="T9" s="58">
        <f>Assumptions!$C$21*(1+Assumptions!$C$22)^15</f>
        <v/>
      </c>
      <c r="U9" s="58">
        <f>Assumptions!$C$21*(1+Assumptions!$C$22)^16</f>
        <v/>
      </c>
      <c r="V9" s="58">
        <f>Assumptions!$C$21*(1+Assumptions!$C$22)^17</f>
        <v/>
      </c>
      <c r="W9" s="58">
        <f>Assumptions!$C$21*(1+Assumptions!$C$22)^18</f>
        <v/>
      </c>
      <c r="X9" s="58">
        <f>Assumptions!$C$21*(1+Assumptions!$C$22)^19</f>
        <v/>
      </c>
    </row>
    <row r="10" ht="15" customHeight="1" s="39">
      <c r="B10" s="56" t="inlineStr">
        <is>
          <t>Gross toll revenue</t>
        </is>
      </c>
      <c r="C10" s="59" t="n">
        <v>0</v>
      </c>
      <c r="D10" s="59" t="n">
        <v>0</v>
      </c>
      <c r="E10" s="59">
        <f>E8*E9*365/1000000</f>
        <v/>
      </c>
      <c r="F10" s="59">
        <f>F8*F9*365/1000000</f>
        <v/>
      </c>
      <c r="G10" s="59">
        <f>G8*G9*365/1000000</f>
        <v/>
      </c>
      <c r="H10" s="59">
        <f>H8*H9*365/1000000</f>
        <v/>
      </c>
      <c r="I10" s="59">
        <f>I8*I9*365/1000000</f>
        <v/>
      </c>
      <c r="J10" s="59">
        <f>J8*J9*365/1000000</f>
        <v/>
      </c>
      <c r="K10" s="59">
        <f>K8*K9*365/1000000</f>
        <v/>
      </c>
      <c r="L10" s="59">
        <f>L8*L9*365/1000000</f>
        <v/>
      </c>
      <c r="M10" s="59">
        <f>M8*M9*365/1000000</f>
        <v/>
      </c>
      <c r="N10" s="59">
        <f>N8*N9*365/1000000</f>
        <v/>
      </c>
      <c r="O10" s="59">
        <f>O8*O9*365/1000000</f>
        <v/>
      </c>
      <c r="P10" s="59">
        <f>P8*P9*365/1000000</f>
        <v/>
      </c>
      <c r="Q10" s="59">
        <f>Q8*Q9*365/1000000</f>
        <v/>
      </c>
      <c r="R10" s="59">
        <f>R8*R9*365/1000000</f>
        <v/>
      </c>
      <c r="S10" s="59">
        <f>S8*S9*365/1000000</f>
        <v/>
      </c>
      <c r="T10" s="59">
        <f>T8*T9*365/1000000</f>
        <v/>
      </c>
      <c r="U10" s="59">
        <f>U8*U9*365/1000000</f>
        <v/>
      </c>
      <c r="V10" s="59">
        <f>V8*V9*365/1000000</f>
        <v/>
      </c>
      <c r="W10" s="59">
        <f>W8*W9*365/1000000</f>
        <v/>
      </c>
      <c r="X10" s="59">
        <f>X8*X9*365/1000000</f>
        <v/>
      </c>
    </row>
    <row r="11" ht="15" customHeight="1" s="39">
      <c r="B11" s="56" t="inlineStr">
        <is>
          <t>Less: leakage / exemptions</t>
        </is>
      </c>
      <c r="C11" s="59" t="n">
        <v>0</v>
      </c>
      <c r="D11" s="59" t="n">
        <v>0</v>
      </c>
      <c r="E11" s="59">
        <f>-E10*Assumptions!$C$23</f>
        <v/>
      </c>
      <c r="F11" s="59">
        <f>-F10*Assumptions!$C$23</f>
        <v/>
      </c>
      <c r="G11" s="59">
        <f>-G10*Assumptions!$C$23</f>
        <v/>
      </c>
      <c r="H11" s="59">
        <f>-H10*Assumptions!$C$23</f>
        <v/>
      </c>
      <c r="I11" s="59">
        <f>-I10*Assumptions!$C$23</f>
        <v/>
      </c>
      <c r="J11" s="59">
        <f>-J10*Assumptions!$C$23</f>
        <v/>
      </c>
      <c r="K11" s="59">
        <f>-K10*Assumptions!$C$23</f>
        <v/>
      </c>
      <c r="L11" s="59">
        <f>-L10*Assumptions!$C$23</f>
        <v/>
      </c>
      <c r="M11" s="59">
        <f>-M10*Assumptions!$C$23</f>
        <v/>
      </c>
      <c r="N11" s="59">
        <f>-N10*Assumptions!$C$23</f>
        <v/>
      </c>
      <c r="O11" s="59">
        <f>-O10*Assumptions!$C$23</f>
        <v/>
      </c>
      <c r="P11" s="59">
        <f>-P10*Assumptions!$C$23</f>
        <v/>
      </c>
      <c r="Q11" s="59">
        <f>-Q10*Assumptions!$C$23</f>
        <v/>
      </c>
      <c r="R11" s="59">
        <f>-R10*Assumptions!$C$23</f>
        <v/>
      </c>
      <c r="S11" s="59">
        <f>-S10*Assumptions!$C$23</f>
        <v/>
      </c>
      <c r="T11" s="59">
        <f>-T10*Assumptions!$C$23</f>
        <v/>
      </c>
      <c r="U11" s="59">
        <f>-U10*Assumptions!$C$23</f>
        <v/>
      </c>
      <c r="V11" s="59">
        <f>-V10*Assumptions!$C$23</f>
        <v/>
      </c>
      <c r="W11" s="59">
        <f>-W10*Assumptions!$C$23</f>
        <v/>
      </c>
      <c r="X11" s="59">
        <f>-X10*Assumptions!$C$23</f>
        <v/>
      </c>
    </row>
    <row r="12" ht="15" customHeight="1" s="39">
      <c r="B12" s="60" t="inlineStr">
        <is>
          <t>Net toll revenue</t>
        </is>
      </c>
      <c r="C12" s="61">
        <f>C10+C11</f>
        <v/>
      </c>
      <c r="D12" s="61">
        <f>D10+D11</f>
        <v/>
      </c>
      <c r="E12" s="61">
        <f>E10+E11</f>
        <v/>
      </c>
      <c r="F12" s="61">
        <f>F10+F11</f>
        <v/>
      </c>
      <c r="G12" s="61">
        <f>G10+G11</f>
        <v/>
      </c>
      <c r="H12" s="61">
        <f>H10+H11</f>
        <v/>
      </c>
      <c r="I12" s="61">
        <f>I10+I11</f>
        <v/>
      </c>
      <c r="J12" s="61">
        <f>J10+J11</f>
        <v/>
      </c>
      <c r="K12" s="61">
        <f>K10+K11</f>
        <v/>
      </c>
      <c r="L12" s="61">
        <f>L10+L11</f>
        <v/>
      </c>
      <c r="M12" s="61">
        <f>M10+M11</f>
        <v/>
      </c>
      <c r="N12" s="61">
        <f>N10+N11</f>
        <v/>
      </c>
      <c r="O12" s="61">
        <f>O10+O11</f>
        <v/>
      </c>
      <c r="P12" s="61">
        <f>P10+P11</f>
        <v/>
      </c>
      <c r="Q12" s="61">
        <f>Q10+Q11</f>
        <v/>
      </c>
      <c r="R12" s="61">
        <f>R10+R11</f>
        <v/>
      </c>
      <c r="S12" s="61">
        <f>S10+S11</f>
        <v/>
      </c>
      <c r="T12" s="61">
        <f>T10+T11</f>
        <v/>
      </c>
      <c r="U12" s="61">
        <f>U10+U11</f>
        <v/>
      </c>
      <c r="V12" s="61">
        <f>V10+V11</f>
        <v/>
      </c>
      <c r="W12" s="61">
        <f>W10+W11</f>
        <v/>
      </c>
      <c r="X12" s="61">
        <f>X10+X11</f>
        <v/>
      </c>
    </row>
    <row r="14" ht="15" customHeight="1" s="39">
      <c r="B14" s="56" t="inlineStr">
        <is>
          <t>Routine O&amp;M</t>
        </is>
      </c>
      <c r="C14" s="59" t="n">
        <v>0</v>
      </c>
      <c r="D14" s="59" t="n">
        <v>0</v>
      </c>
      <c r="E14" s="59">
        <f>-Assumptions!$C$26*(1+Assumptions!$C$27)^0</f>
        <v/>
      </c>
      <c r="F14" s="59">
        <f>-Assumptions!$C$26*(1+Assumptions!$C$27)^1</f>
        <v/>
      </c>
      <c r="G14" s="59">
        <f>-Assumptions!$C$26*(1+Assumptions!$C$27)^2</f>
        <v/>
      </c>
      <c r="H14" s="59">
        <f>-Assumptions!$C$26*(1+Assumptions!$C$27)^3</f>
        <v/>
      </c>
      <c r="I14" s="59">
        <f>-Assumptions!$C$26*(1+Assumptions!$C$27)^4</f>
        <v/>
      </c>
      <c r="J14" s="59">
        <f>-Assumptions!$C$26*(1+Assumptions!$C$27)^5</f>
        <v/>
      </c>
      <c r="K14" s="59">
        <f>-Assumptions!$C$26*(1+Assumptions!$C$27)^6</f>
        <v/>
      </c>
      <c r="L14" s="59">
        <f>-Assumptions!$C$26*(1+Assumptions!$C$27)^7</f>
        <v/>
      </c>
      <c r="M14" s="59">
        <f>-Assumptions!$C$26*(1+Assumptions!$C$27)^8</f>
        <v/>
      </c>
      <c r="N14" s="59">
        <f>-Assumptions!$C$26*(1+Assumptions!$C$27)^9</f>
        <v/>
      </c>
      <c r="O14" s="59">
        <f>-Assumptions!$C$26*(1+Assumptions!$C$27)^10</f>
        <v/>
      </c>
      <c r="P14" s="59">
        <f>-Assumptions!$C$26*(1+Assumptions!$C$27)^11</f>
        <v/>
      </c>
      <c r="Q14" s="59">
        <f>-Assumptions!$C$26*(1+Assumptions!$C$27)^12</f>
        <v/>
      </c>
      <c r="R14" s="59">
        <f>-Assumptions!$C$26*(1+Assumptions!$C$27)^13</f>
        <v/>
      </c>
      <c r="S14" s="59">
        <f>-Assumptions!$C$26*(1+Assumptions!$C$27)^14</f>
        <v/>
      </c>
      <c r="T14" s="59">
        <f>-Assumptions!$C$26*(1+Assumptions!$C$27)^15</f>
        <v/>
      </c>
      <c r="U14" s="59">
        <f>-Assumptions!$C$26*(1+Assumptions!$C$27)^16</f>
        <v/>
      </c>
      <c r="V14" s="59">
        <f>-Assumptions!$C$26*(1+Assumptions!$C$27)^17</f>
        <v/>
      </c>
      <c r="W14" s="59">
        <f>-Assumptions!$C$26*(1+Assumptions!$C$27)^18</f>
        <v/>
      </c>
      <c r="X14" s="59">
        <f>-Assumptions!$C$26*(1+Assumptions!$C$27)^19</f>
        <v/>
      </c>
    </row>
    <row r="15" ht="15" customHeight="1" s="39">
      <c r="B15" s="56" t="inlineStr">
        <is>
          <t>Major maintenance</t>
        </is>
      </c>
      <c r="C15" s="59" t="n">
        <v>0</v>
      </c>
      <c r="D15" s="59" t="n">
        <v>0</v>
      </c>
      <c r="E15" s="59">
        <f>IF(MOD(1,Assumptions!$C$28)=0,-Assumptions!$C$29*(1+Assumptions!$C$27)^1,0)</f>
        <v/>
      </c>
      <c r="F15" s="59">
        <f>IF(MOD(2,Assumptions!$C$28)=0,-Assumptions!$C$29*(1+Assumptions!$C$27)^2,0)</f>
        <v/>
      </c>
      <c r="G15" s="59">
        <f>IF(MOD(3,Assumptions!$C$28)=0,-Assumptions!$C$29*(1+Assumptions!$C$27)^3,0)</f>
        <v/>
      </c>
      <c r="H15" s="59">
        <f>IF(MOD(4,Assumptions!$C$28)=0,-Assumptions!$C$29*(1+Assumptions!$C$27)^4,0)</f>
        <v/>
      </c>
      <c r="I15" s="59">
        <f>IF(MOD(5,Assumptions!$C$28)=0,-Assumptions!$C$29*(1+Assumptions!$C$27)^5,0)</f>
        <v/>
      </c>
      <c r="J15" s="59">
        <f>IF(MOD(6,Assumptions!$C$28)=0,-Assumptions!$C$29*(1+Assumptions!$C$27)^6,0)</f>
        <v/>
      </c>
      <c r="K15" s="59">
        <f>IF(MOD(7,Assumptions!$C$28)=0,-Assumptions!$C$29*(1+Assumptions!$C$27)^7,0)</f>
        <v/>
      </c>
      <c r="L15" s="59">
        <f>IF(MOD(8,Assumptions!$C$28)=0,-Assumptions!$C$29*(1+Assumptions!$C$27)^8,0)</f>
        <v/>
      </c>
      <c r="M15" s="59">
        <f>IF(MOD(9,Assumptions!$C$28)=0,-Assumptions!$C$29*(1+Assumptions!$C$27)^9,0)</f>
        <v/>
      </c>
      <c r="N15" s="59">
        <f>IF(MOD(10,Assumptions!$C$28)=0,-Assumptions!$C$29*(1+Assumptions!$C$27)^10,0)</f>
        <v/>
      </c>
      <c r="O15" s="59">
        <f>IF(MOD(11,Assumptions!$C$28)=0,-Assumptions!$C$29*(1+Assumptions!$C$27)^11,0)</f>
        <v/>
      </c>
      <c r="P15" s="59">
        <f>IF(MOD(12,Assumptions!$C$28)=0,-Assumptions!$C$29*(1+Assumptions!$C$27)^12,0)</f>
        <v/>
      </c>
      <c r="Q15" s="59">
        <f>IF(MOD(13,Assumptions!$C$28)=0,-Assumptions!$C$29*(1+Assumptions!$C$27)^13,0)</f>
        <v/>
      </c>
      <c r="R15" s="59">
        <f>IF(MOD(14,Assumptions!$C$28)=0,-Assumptions!$C$29*(1+Assumptions!$C$27)^14,0)</f>
        <v/>
      </c>
      <c r="S15" s="59">
        <f>IF(MOD(15,Assumptions!$C$28)=0,-Assumptions!$C$29*(1+Assumptions!$C$27)^15,0)</f>
        <v/>
      </c>
      <c r="T15" s="59">
        <f>IF(MOD(16,Assumptions!$C$28)=0,-Assumptions!$C$29*(1+Assumptions!$C$27)^16,0)</f>
        <v/>
      </c>
      <c r="U15" s="59">
        <f>IF(MOD(17,Assumptions!$C$28)=0,-Assumptions!$C$29*(1+Assumptions!$C$27)^17,0)</f>
        <v/>
      </c>
      <c r="V15" s="59">
        <f>IF(MOD(18,Assumptions!$C$28)=0,-Assumptions!$C$29*(1+Assumptions!$C$27)^18,0)</f>
        <v/>
      </c>
      <c r="W15" s="59">
        <f>IF(MOD(19,Assumptions!$C$28)=0,-Assumptions!$C$29*(1+Assumptions!$C$27)^19,0)</f>
        <v/>
      </c>
      <c r="X15" s="59">
        <f>IF(MOD(20,Assumptions!$C$28)=0,-Assumptions!$C$29*(1+Assumptions!$C$27)^20,0)</f>
        <v/>
      </c>
    </row>
    <row r="16" ht="15" customHeight="1" s="39">
      <c r="B16" s="56" t="inlineStr">
        <is>
          <t>Major maintenance reserve accrual</t>
        </is>
      </c>
      <c r="C16" s="59" t="n">
        <v>0</v>
      </c>
      <c r="D16" s="59" t="n">
        <v>0</v>
      </c>
      <c r="E16" s="59">
        <f>-Assumptions!$C$29*(1+Assumptions!$C$27)^0/Assumptions!$C$28</f>
        <v/>
      </c>
      <c r="F16" s="59">
        <f>-Assumptions!$C$29*(1+Assumptions!$C$27)^1/Assumptions!$C$28</f>
        <v/>
      </c>
      <c r="G16" s="59">
        <f>-Assumptions!$C$29*(1+Assumptions!$C$27)^2/Assumptions!$C$28</f>
        <v/>
      </c>
      <c r="H16" s="59">
        <f>-Assumptions!$C$29*(1+Assumptions!$C$27)^3/Assumptions!$C$28</f>
        <v/>
      </c>
      <c r="I16" s="59">
        <f>-Assumptions!$C$29*(1+Assumptions!$C$27)^4/Assumptions!$C$28</f>
        <v/>
      </c>
      <c r="J16" s="59">
        <f>-Assumptions!$C$29*(1+Assumptions!$C$27)^5/Assumptions!$C$28</f>
        <v/>
      </c>
      <c r="K16" s="59">
        <f>-Assumptions!$C$29*(1+Assumptions!$C$27)^6/Assumptions!$C$28</f>
        <v/>
      </c>
      <c r="L16" s="59">
        <f>-Assumptions!$C$29*(1+Assumptions!$C$27)^7/Assumptions!$C$28</f>
        <v/>
      </c>
      <c r="M16" s="59">
        <f>-Assumptions!$C$29*(1+Assumptions!$C$27)^8/Assumptions!$C$28</f>
        <v/>
      </c>
      <c r="N16" s="59">
        <f>-Assumptions!$C$29*(1+Assumptions!$C$27)^9/Assumptions!$C$28</f>
        <v/>
      </c>
      <c r="O16" s="59">
        <f>-Assumptions!$C$29*(1+Assumptions!$C$27)^10/Assumptions!$C$28</f>
        <v/>
      </c>
      <c r="P16" s="59">
        <f>-Assumptions!$C$29*(1+Assumptions!$C$27)^11/Assumptions!$C$28</f>
        <v/>
      </c>
      <c r="Q16" s="59">
        <f>-Assumptions!$C$29*(1+Assumptions!$C$27)^12/Assumptions!$C$28</f>
        <v/>
      </c>
      <c r="R16" s="59">
        <f>-Assumptions!$C$29*(1+Assumptions!$C$27)^13/Assumptions!$C$28</f>
        <v/>
      </c>
      <c r="S16" s="59">
        <f>-Assumptions!$C$29*(1+Assumptions!$C$27)^14/Assumptions!$C$28</f>
        <v/>
      </c>
      <c r="T16" s="59">
        <f>-Assumptions!$C$29*(1+Assumptions!$C$27)^15/Assumptions!$C$28</f>
        <v/>
      </c>
      <c r="U16" s="59">
        <f>-Assumptions!$C$29*(1+Assumptions!$C$27)^16/Assumptions!$C$28</f>
        <v/>
      </c>
      <c r="V16" s="59">
        <f>-Assumptions!$C$29*(1+Assumptions!$C$27)^17/Assumptions!$C$28</f>
        <v/>
      </c>
      <c r="W16" s="59">
        <f>-Assumptions!$C$29*(1+Assumptions!$C$27)^18/Assumptions!$C$28</f>
        <v/>
      </c>
      <c r="X16" s="59">
        <f>-Assumptions!$C$29*(1+Assumptions!$C$27)^19/Assumptions!$C$28</f>
        <v/>
      </c>
    </row>
    <row r="17" ht="15" customHeight="1" s="39">
      <c r="B17" s="60" t="inlineStr">
        <is>
          <t>EBITDA</t>
        </is>
      </c>
      <c r="C17" s="61">
        <f>C12+C14+C15</f>
        <v/>
      </c>
      <c r="D17" s="61">
        <f>D12+D14+D15</f>
        <v/>
      </c>
      <c r="E17" s="61">
        <f>E12+E14+E15</f>
        <v/>
      </c>
      <c r="F17" s="61">
        <f>F12+F14+F15</f>
        <v/>
      </c>
      <c r="G17" s="61">
        <f>G12+G14+G15</f>
        <v/>
      </c>
      <c r="H17" s="61">
        <f>H12+H14+H15</f>
        <v/>
      </c>
      <c r="I17" s="61">
        <f>I12+I14+I15</f>
        <v/>
      </c>
      <c r="J17" s="61">
        <f>J12+J14+J15</f>
        <v/>
      </c>
      <c r="K17" s="61">
        <f>K12+K14+K15</f>
        <v/>
      </c>
      <c r="L17" s="61">
        <f>L12+L14+L15</f>
        <v/>
      </c>
      <c r="M17" s="61">
        <f>M12+M14+M15</f>
        <v/>
      </c>
      <c r="N17" s="61">
        <f>N12+N14+N15</f>
        <v/>
      </c>
      <c r="O17" s="61">
        <f>O12+O14+O15</f>
        <v/>
      </c>
      <c r="P17" s="61">
        <f>P12+P14+P15</f>
        <v/>
      </c>
      <c r="Q17" s="61">
        <f>Q12+Q14+Q15</f>
        <v/>
      </c>
      <c r="R17" s="61">
        <f>R12+R14+R15</f>
        <v/>
      </c>
      <c r="S17" s="61">
        <f>S12+S14+S15</f>
        <v/>
      </c>
      <c r="T17" s="61">
        <f>T12+T14+T15</f>
        <v/>
      </c>
      <c r="U17" s="61">
        <f>U12+U14+U15</f>
        <v/>
      </c>
      <c r="V17" s="61">
        <f>V12+V14+V15</f>
        <v/>
      </c>
      <c r="W17" s="61">
        <f>W12+W14+W15</f>
        <v/>
      </c>
      <c r="X17" s="61">
        <f>X12+X14+X15</f>
        <v/>
      </c>
    </row>
    <row r="18" ht="15" customHeight="1" s="39">
      <c r="B18" s="56" t="inlineStr">
        <is>
          <t>EBITDA margin</t>
        </is>
      </c>
      <c r="C18" s="62" t="n">
        <v>0</v>
      </c>
      <c r="D18" s="62" t="n">
        <v>0</v>
      </c>
      <c r="E18" s="62">
        <f>IF(E12=0,0,E17/E12)</f>
        <v/>
      </c>
      <c r="F18" s="62">
        <f>IF(F12=0,0,F17/F12)</f>
        <v/>
      </c>
      <c r="G18" s="62">
        <f>IF(G12=0,0,G17/G12)</f>
        <v/>
      </c>
      <c r="H18" s="62">
        <f>IF(H12=0,0,H17/H12)</f>
        <v/>
      </c>
      <c r="I18" s="62">
        <f>IF(I12=0,0,I17/I12)</f>
        <v/>
      </c>
      <c r="J18" s="62">
        <f>IF(J12=0,0,J17/J12)</f>
        <v/>
      </c>
      <c r="K18" s="62">
        <f>IF(K12=0,0,K17/K12)</f>
        <v/>
      </c>
      <c r="L18" s="62">
        <f>IF(L12=0,0,L17/L12)</f>
        <v/>
      </c>
      <c r="M18" s="62">
        <f>IF(M12=0,0,M17/M12)</f>
        <v/>
      </c>
      <c r="N18" s="62">
        <f>IF(N12=0,0,N17/N12)</f>
        <v/>
      </c>
      <c r="O18" s="62">
        <f>IF(O12=0,0,O17/O12)</f>
        <v/>
      </c>
      <c r="P18" s="62">
        <f>IF(P12=0,0,P17/P12)</f>
        <v/>
      </c>
      <c r="Q18" s="62">
        <f>IF(Q12=0,0,Q17/Q12)</f>
        <v/>
      </c>
      <c r="R18" s="62">
        <f>IF(R12=0,0,R17/R12)</f>
        <v/>
      </c>
      <c r="S18" s="62">
        <f>IF(S12=0,0,S17/S12)</f>
        <v/>
      </c>
      <c r="T18" s="62">
        <f>IF(T12=0,0,T17/T12)</f>
        <v/>
      </c>
      <c r="U18" s="62">
        <f>IF(U12=0,0,U17/U12)</f>
        <v/>
      </c>
      <c r="V18" s="62">
        <f>IF(V12=0,0,V17/V12)</f>
        <v/>
      </c>
      <c r="W18" s="62">
        <f>IF(W12=0,0,W17/W12)</f>
        <v/>
      </c>
      <c r="X18" s="62">
        <f>IF(X12=0,0,X17/X12)</f>
        <v/>
      </c>
    </row>
    <row r="20" ht="15" customHeight="1" s="39">
      <c r="B20" s="55" t="inlineStr">
        <is>
          <t>CAPITAL &amp; FINANCING</t>
        </is>
      </c>
    </row>
    <row r="21" ht="15" customHeight="1" s="39">
      <c r="B21" s="56" t="inlineStr">
        <is>
          <t>Capex</t>
        </is>
      </c>
      <c r="C21" s="59">
        <f>-Assumptions!$C$12*(1+Assumptions!$C$14)*Assumptions!$C$13</f>
        <v/>
      </c>
      <c r="D21" s="59">
        <f>-Assumptions!$C$12*(1+Assumptions!$C$14)*(1-Assumptions!$C$13)</f>
        <v/>
      </c>
      <c r="E21" s="59" t="n">
        <v>0</v>
      </c>
      <c r="F21" s="59" t="n">
        <v>0</v>
      </c>
      <c r="G21" s="59" t="n">
        <v>0</v>
      </c>
      <c r="H21" s="59" t="n">
        <v>0</v>
      </c>
      <c r="I21" s="59" t="n">
        <v>0</v>
      </c>
      <c r="J21" s="59" t="n">
        <v>0</v>
      </c>
      <c r="K21" s="59" t="n">
        <v>0</v>
      </c>
      <c r="L21" s="59" t="n">
        <v>0</v>
      </c>
      <c r="M21" s="59" t="n">
        <v>0</v>
      </c>
      <c r="N21" s="59" t="n">
        <v>0</v>
      </c>
      <c r="O21" s="59" t="n">
        <v>0</v>
      </c>
      <c r="P21" s="59" t="n">
        <v>0</v>
      </c>
      <c r="Q21" s="59" t="n">
        <v>0</v>
      </c>
      <c r="R21" s="59" t="n">
        <v>0</v>
      </c>
      <c r="S21" s="59" t="n">
        <v>0</v>
      </c>
      <c r="T21" s="59" t="n">
        <v>0</v>
      </c>
      <c r="U21" s="59" t="n">
        <v>0</v>
      </c>
      <c r="V21" s="59" t="n">
        <v>0</v>
      </c>
      <c r="W21" s="59" t="n">
        <v>0</v>
      </c>
      <c r="X21" s="59" t="n">
        <v>0</v>
      </c>
    </row>
    <row r="22" ht="15" customHeight="1" s="39">
      <c r="B22" s="56" t="inlineStr">
        <is>
          <t>Cumulative capex</t>
        </is>
      </c>
      <c r="C22" s="59">
        <f>-C21</f>
        <v/>
      </c>
      <c r="D22" s="59">
        <f>C22-D21</f>
        <v/>
      </c>
      <c r="E22" s="59">
        <f>D22-E21</f>
        <v/>
      </c>
      <c r="F22" s="59">
        <f>E22-F21</f>
        <v/>
      </c>
      <c r="G22" s="59">
        <f>F22-G21</f>
        <v/>
      </c>
      <c r="H22" s="59">
        <f>G22-H21</f>
        <v/>
      </c>
      <c r="I22" s="59">
        <f>H22-I21</f>
        <v/>
      </c>
      <c r="J22" s="59">
        <f>I22-J21</f>
        <v/>
      </c>
      <c r="K22" s="59">
        <f>J22-K21</f>
        <v/>
      </c>
      <c r="L22" s="59">
        <f>K22-L21</f>
        <v/>
      </c>
      <c r="M22" s="59">
        <f>L22-M21</f>
        <v/>
      </c>
      <c r="N22" s="59">
        <f>M22-N21</f>
        <v/>
      </c>
      <c r="O22" s="59">
        <f>N22-O21</f>
        <v/>
      </c>
      <c r="P22" s="59">
        <f>O22-P21</f>
        <v/>
      </c>
      <c r="Q22" s="59">
        <f>P22-Q21</f>
        <v/>
      </c>
      <c r="R22" s="59">
        <f>Q22-R21</f>
        <v/>
      </c>
      <c r="S22" s="59">
        <f>R22-S21</f>
        <v/>
      </c>
      <c r="T22" s="59">
        <f>S22-T21</f>
        <v/>
      </c>
      <c r="U22" s="59">
        <f>T22-U21</f>
        <v/>
      </c>
      <c r="V22" s="59">
        <f>U22-V21</f>
        <v/>
      </c>
      <c r="W22" s="59">
        <f>V22-W21</f>
        <v/>
      </c>
      <c r="X22" s="59">
        <f>W22-X21</f>
        <v/>
      </c>
    </row>
    <row r="23" ht="15" customHeight="1" s="39">
      <c r="B23" s="56" t="inlineStr">
        <is>
          <t>Depreciation (SLM)</t>
        </is>
      </c>
      <c r="C23" s="59" t="n">
        <v>0</v>
      </c>
      <c r="D23" s="59" t="n">
        <v>0</v>
      </c>
      <c r="E23" s="59">
        <f>-$D$22/Assumptions!$C$37</f>
        <v/>
      </c>
      <c r="F23" s="59">
        <f>-$D$22/Assumptions!$C$37</f>
        <v/>
      </c>
      <c r="G23" s="59">
        <f>-$D$22/Assumptions!$C$37</f>
        <v/>
      </c>
      <c r="H23" s="59">
        <f>-$D$22/Assumptions!$C$37</f>
        <v/>
      </c>
      <c r="I23" s="59">
        <f>-$D$22/Assumptions!$C$37</f>
        <v/>
      </c>
      <c r="J23" s="59">
        <f>-$D$22/Assumptions!$C$37</f>
        <v/>
      </c>
      <c r="K23" s="59">
        <f>-$D$22/Assumptions!$C$37</f>
        <v/>
      </c>
      <c r="L23" s="59">
        <f>-$D$22/Assumptions!$C$37</f>
        <v/>
      </c>
      <c r="M23" s="59">
        <f>-$D$22/Assumptions!$C$37</f>
        <v/>
      </c>
      <c r="N23" s="59">
        <f>-$D$22/Assumptions!$C$37</f>
        <v/>
      </c>
      <c r="O23" s="59">
        <f>-$D$22/Assumptions!$C$37</f>
        <v/>
      </c>
      <c r="P23" s="59">
        <f>-$D$22/Assumptions!$C$37</f>
        <v/>
      </c>
      <c r="Q23" s="59">
        <f>-$D$22/Assumptions!$C$37</f>
        <v/>
      </c>
      <c r="R23" s="59">
        <f>-$D$22/Assumptions!$C$37</f>
        <v/>
      </c>
      <c r="S23" s="59">
        <f>-$D$22/Assumptions!$C$37</f>
        <v/>
      </c>
      <c r="T23" s="59">
        <f>-$D$22/Assumptions!$C$37</f>
        <v/>
      </c>
      <c r="U23" s="59">
        <f>-$D$22/Assumptions!$C$37</f>
        <v/>
      </c>
      <c r="V23" s="59">
        <f>-$D$22/Assumptions!$C$37</f>
        <v/>
      </c>
      <c r="W23" s="59">
        <f>-$D$22/Assumptions!$C$37</f>
        <v/>
      </c>
      <c r="X23" s="59">
        <f>-$D$22/Assumptions!$C$37</f>
        <v/>
      </c>
    </row>
    <row r="24" ht="15" customHeight="1" s="39">
      <c r="B24" s="56" t="inlineStr">
        <is>
          <t>Debt balance (opening)</t>
        </is>
      </c>
      <c r="C24" s="59" t="n">
        <v>0</v>
      </c>
      <c r="D24" s="59">
        <f>$D$22*Assumptions!$C$32</f>
        <v/>
      </c>
      <c r="E24" s="59">
        <f>MAX(0,D24+D26)</f>
        <v/>
      </c>
      <c r="F24" s="59">
        <f>MAX(0,E24+E26)</f>
        <v/>
      </c>
      <c r="G24" s="59">
        <f>MAX(0,F24+F26)</f>
        <v/>
      </c>
      <c r="H24" s="59">
        <f>MAX(0,G24+G26)</f>
        <v/>
      </c>
      <c r="I24" s="59">
        <f>MAX(0,H24+H26)</f>
        <v/>
      </c>
      <c r="J24" s="59">
        <f>MAX(0,I24+I26)</f>
        <v/>
      </c>
      <c r="K24" s="59">
        <f>MAX(0,J24+J26)</f>
        <v/>
      </c>
      <c r="L24" s="59">
        <f>MAX(0,K24+K26)</f>
        <v/>
      </c>
      <c r="M24" s="59">
        <f>MAX(0,L24+L26)</f>
        <v/>
      </c>
      <c r="N24" s="59">
        <f>MAX(0,M24+M26)</f>
        <v/>
      </c>
      <c r="O24" s="59">
        <f>MAX(0,N24+N26)</f>
        <v/>
      </c>
      <c r="P24" s="59">
        <f>MAX(0,O24+O26)</f>
        <v/>
      </c>
      <c r="Q24" s="59">
        <f>MAX(0,P24+P26)</f>
        <v/>
      </c>
      <c r="R24" s="59">
        <f>MAX(0,Q24+Q26)</f>
        <v/>
      </c>
      <c r="S24" s="59">
        <f>MAX(0,R24+R26)</f>
        <v/>
      </c>
      <c r="T24" s="59">
        <f>MAX(0,S24+S26)</f>
        <v/>
      </c>
      <c r="U24" s="59">
        <f>MAX(0,T24+T26)</f>
        <v/>
      </c>
      <c r="V24" s="59">
        <f>MAX(0,U24+U26)</f>
        <v/>
      </c>
      <c r="W24" s="59">
        <f>MAX(0,V24+V26)</f>
        <v/>
      </c>
      <c r="X24" s="59">
        <f>MAX(0,W24+W26)</f>
        <v/>
      </c>
    </row>
    <row r="25" ht="15" customHeight="1" s="39">
      <c r="B25" s="56" t="inlineStr">
        <is>
          <t>Interest expense</t>
        </is>
      </c>
      <c r="C25" s="59" t="n">
        <v>0</v>
      </c>
      <c r="D25" s="59" t="n">
        <v>0</v>
      </c>
      <c r="E25" s="59">
        <f>-E24*Assumptions!$C$33</f>
        <v/>
      </c>
      <c r="F25" s="59">
        <f>-F24*Assumptions!$C$33</f>
        <v/>
      </c>
      <c r="G25" s="59">
        <f>-G24*Assumptions!$C$33</f>
        <v/>
      </c>
      <c r="H25" s="59">
        <f>-H24*Assumptions!$C$33</f>
        <v/>
      </c>
      <c r="I25" s="59">
        <f>-I24*Assumptions!$C$33</f>
        <v/>
      </c>
      <c r="J25" s="59">
        <f>-J24*Assumptions!$C$33</f>
        <v/>
      </c>
      <c r="K25" s="59">
        <f>-K24*Assumptions!$C$33</f>
        <v/>
      </c>
      <c r="L25" s="59">
        <f>-L24*Assumptions!$C$33</f>
        <v/>
      </c>
      <c r="M25" s="59">
        <f>-M24*Assumptions!$C$33</f>
        <v/>
      </c>
      <c r="N25" s="59">
        <f>-N24*Assumptions!$C$33</f>
        <v/>
      </c>
      <c r="O25" s="59">
        <f>-O24*Assumptions!$C$33</f>
        <v/>
      </c>
      <c r="P25" s="59">
        <f>-P24*Assumptions!$C$33</f>
        <v/>
      </c>
      <c r="Q25" s="59">
        <f>-Q24*Assumptions!$C$33</f>
        <v/>
      </c>
      <c r="R25" s="59">
        <f>-R24*Assumptions!$C$33</f>
        <v/>
      </c>
      <c r="S25" s="59">
        <f>-S24*Assumptions!$C$33</f>
        <v/>
      </c>
      <c r="T25" s="59">
        <f>-T24*Assumptions!$C$33</f>
        <v/>
      </c>
      <c r="U25" s="59">
        <f>-U24*Assumptions!$C$33</f>
        <v/>
      </c>
      <c r="V25" s="59">
        <f>-V24*Assumptions!$C$33</f>
        <v/>
      </c>
      <c r="W25" s="59">
        <f>-W24*Assumptions!$C$33</f>
        <v/>
      </c>
      <c r="X25" s="59">
        <f>-X24*Assumptions!$C$33</f>
        <v/>
      </c>
    </row>
    <row r="26" ht="15" customHeight="1" s="39">
      <c r="B26" s="56" t="inlineStr">
        <is>
          <t>Principal repayment</t>
        </is>
      </c>
      <c r="C26" s="59" t="n">
        <v>0</v>
      </c>
      <c r="D26" s="59" t="n">
        <v>0</v>
      </c>
      <c r="E26" s="59">
        <f>IF(0&lt;Assumptions!$C$35,0,-MIN(E24,$D$24/(Assumptions!$C$34-Assumptions!$C$35)))</f>
        <v/>
      </c>
      <c r="F26" s="59">
        <f>IF(1&lt;Assumptions!$C$35,0,-MIN(F24,$D$24/(Assumptions!$C$34-Assumptions!$C$35)))</f>
        <v/>
      </c>
      <c r="G26" s="59">
        <f>IF(2&lt;Assumptions!$C$35,0,-MIN(G24,$D$24/(Assumptions!$C$34-Assumptions!$C$35)))</f>
        <v/>
      </c>
      <c r="H26" s="59">
        <f>IF(3&lt;Assumptions!$C$35,0,-MIN(H24,$D$24/(Assumptions!$C$34-Assumptions!$C$35)))</f>
        <v/>
      </c>
      <c r="I26" s="59">
        <f>IF(4&lt;Assumptions!$C$35,0,-MIN(I24,$D$24/(Assumptions!$C$34-Assumptions!$C$35)))</f>
        <v/>
      </c>
      <c r="J26" s="59">
        <f>IF(5&lt;Assumptions!$C$35,0,-MIN(J24,$D$24/(Assumptions!$C$34-Assumptions!$C$35)))</f>
        <v/>
      </c>
      <c r="K26" s="59">
        <f>IF(6&lt;Assumptions!$C$35,0,-MIN(K24,$D$24/(Assumptions!$C$34-Assumptions!$C$35)))</f>
        <v/>
      </c>
      <c r="L26" s="59">
        <f>IF(7&lt;Assumptions!$C$35,0,-MIN(L24,$D$24/(Assumptions!$C$34-Assumptions!$C$35)))</f>
        <v/>
      </c>
      <c r="M26" s="59">
        <f>IF(8&lt;Assumptions!$C$35,0,-MIN(M24,$D$24/(Assumptions!$C$34-Assumptions!$C$35)))</f>
        <v/>
      </c>
      <c r="N26" s="59">
        <f>IF(9&lt;Assumptions!$C$35,0,-MIN(N24,$D$24/(Assumptions!$C$34-Assumptions!$C$35)))</f>
        <v/>
      </c>
      <c r="O26" s="59">
        <f>IF(10&lt;Assumptions!$C$35,0,-MIN(O24,$D$24/(Assumptions!$C$34-Assumptions!$C$35)))</f>
        <v/>
      </c>
      <c r="P26" s="59">
        <f>IF(11&lt;Assumptions!$C$35,0,-MIN(P24,$D$24/(Assumptions!$C$34-Assumptions!$C$35)))</f>
        <v/>
      </c>
      <c r="Q26" s="59">
        <f>IF(12&lt;Assumptions!$C$35,0,-MIN(Q24,$D$24/(Assumptions!$C$34-Assumptions!$C$35)))</f>
        <v/>
      </c>
      <c r="R26" s="59">
        <f>IF(13&lt;Assumptions!$C$35,0,-MIN(R24,$D$24/(Assumptions!$C$34-Assumptions!$C$35)))</f>
        <v/>
      </c>
      <c r="S26" s="59">
        <f>IF(14&lt;Assumptions!$C$35,0,-MIN(S24,$D$24/(Assumptions!$C$34-Assumptions!$C$35)))</f>
        <v/>
      </c>
      <c r="T26" s="59">
        <f>IF(15&lt;Assumptions!$C$35,0,-MIN(T24,$D$24/(Assumptions!$C$34-Assumptions!$C$35)))</f>
        <v/>
      </c>
      <c r="U26" s="59">
        <f>IF(16&lt;Assumptions!$C$35,0,-MIN(U24,$D$24/(Assumptions!$C$34-Assumptions!$C$35)))</f>
        <v/>
      </c>
      <c r="V26" s="59">
        <f>IF(17&lt;Assumptions!$C$35,0,-MIN(V24,$D$24/(Assumptions!$C$34-Assumptions!$C$35)))</f>
        <v/>
      </c>
      <c r="W26" s="59">
        <f>IF(18&lt;Assumptions!$C$35,0,-MIN(W24,$D$24/(Assumptions!$C$34-Assumptions!$C$35)))</f>
        <v/>
      </c>
      <c r="X26" s="59">
        <f>IF(19&lt;Assumptions!$C$35,0,-MIN(X24,$D$24/(Assumptions!$C$34-Assumptions!$C$35)))</f>
        <v/>
      </c>
    </row>
    <row r="28" ht="15" customHeight="1" s="39">
      <c r="B28" s="55" t="inlineStr">
        <is>
          <t>RETURNS</t>
        </is>
      </c>
    </row>
    <row r="29" ht="15" customHeight="1" s="39">
      <c r="B29" s="56" t="inlineStr">
        <is>
          <t>EBIT</t>
        </is>
      </c>
      <c r="C29" s="59">
        <f>C17+C23</f>
        <v/>
      </c>
      <c r="D29" s="59">
        <f>D17+D23</f>
        <v/>
      </c>
      <c r="E29" s="59">
        <f>E17+E23</f>
        <v/>
      </c>
      <c r="F29" s="59">
        <f>F17+F23</f>
        <v/>
      </c>
      <c r="G29" s="59">
        <f>G17+G23</f>
        <v/>
      </c>
      <c r="H29" s="59">
        <f>H17+H23</f>
        <v/>
      </c>
      <c r="I29" s="59">
        <f>I17+I23</f>
        <v/>
      </c>
      <c r="J29" s="59">
        <f>J17+J23</f>
        <v/>
      </c>
      <c r="K29" s="59">
        <f>K17+K23</f>
        <v/>
      </c>
      <c r="L29" s="59">
        <f>L17+L23</f>
        <v/>
      </c>
      <c r="M29" s="59">
        <f>M17+M23</f>
        <v/>
      </c>
      <c r="N29" s="59">
        <f>N17+N23</f>
        <v/>
      </c>
      <c r="O29" s="59">
        <f>O17+O23</f>
        <v/>
      </c>
      <c r="P29" s="59">
        <f>P17+P23</f>
        <v/>
      </c>
      <c r="Q29" s="59">
        <f>Q17+Q23</f>
        <v/>
      </c>
      <c r="R29" s="59">
        <f>R17+R23</f>
        <v/>
      </c>
      <c r="S29" s="59">
        <f>S17+S23</f>
        <v/>
      </c>
      <c r="T29" s="59">
        <f>T17+T23</f>
        <v/>
      </c>
      <c r="U29" s="59">
        <f>U17+U23</f>
        <v/>
      </c>
      <c r="V29" s="59">
        <f>V17+V23</f>
        <v/>
      </c>
      <c r="W29" s="59">
        <f>W17+W23</f>
        <v/>
      </c>
      <c r="X29" s="59">
        <f>X17+X23</f>
        <v/>
      </c>
    </row>
    <row r="30" ht="15" customHeight="1" s="39">
      <c r="B30" s="56" t="inlineStr">
        <is>
          <t>PBT</t>
        </is>
      </c>
      <c r="C30" s="59">
        <f>C29+C25</f>
        <v/>
      </c>
      <c r="D30" s="59">
        <f>D29+D25</f>
        <v/>
      </c>
      <c r="E30" s="59">
        <f>E29+E25</f>
        <v/>
      </c>
      <c r="F30" s="59">
        <f>F29+F25</f>
        <v/>
      </c>
      <c r="G30" s="59">
        <f>G29+G25</f>
        <v/>
      </c>
      <c r="H30" s="59">
        <f>H29+H25</f>
        <v/>
      </c>
      <c r="I30" s="59">
        <f>I29+I25</f>
        <v/>
      </c>
      <c r="J30" s="59">
        <f>J29+J25</f>
        <v/>
      </c>
      <c r="K30" s="59">
        <f>K29+K25</f>
        <v/>
      </c>
      <c r="L30" s="59">
        <f>L29+L25</f>
        <v/>
      </c>
      <c r="M30" s="59">
        <f>M29+M25</f>
        <v/>
      </c>
      <c r="N30" s="59">
        <f>N29+N25</f>
        <v/>
      </c>
      <c r="O30" s="59">
        <f>O29+O25</f>
        <v/>
      </c>
      <c r="P30" s="59">
        <f>P29+P25</f>
        <v/>
      </c>
      <c r="Q30" s="59">
        <f>Q29+Q25</f>
        <v/>
      </c>
      <c r="R30" s="59">
        <f>R29+R25</f>
        <v/>
      </c>
      <c r="S30" s="59">
        <f>S29+S25</f>
        <v/>
      </c>
      <c r="T30" s="59">
        <f>T29+T25</f>
        <v/>
      </c>
      <c r="U30" s="59">
        <f>U29+U25</f>
        <v/>
      </c>
      <c r="V30" s="59">
        <f>V29+V25</f>
        <v/>
      </c>
      <c r="W30" s="59">
        <f>W29+W25</f>
        <v/>
      </c>
      <c r="X30" s="59">
        <f>X29+X25</f>
        <v/>
      </c>
    </row>
    <row r="31" ht="15" customHeight="1" s="39">
      <c r="B31" s="56" t="inlineStr">
        <is>
          <t>Tax</t>
        </is>
      </c>
      <c r="C31" s="59">
        <f>-MAX(0,C30)*Assumptions!$C$36</f>
        <v/>
      </c>
      <c r="D31" s="59">
        <f>-MAX(0,D30)*Assumptions!$C$36</f>
        <v/>
      </c>
      <c r="E31" s="59">
        <f>-MAX(0,E30)*Assumptions!$C$36</f>
        <v/>
      </c>
      <c r="F31" s="59">
        <f>-MAX(0,F30)*Assumptions!$C$36</f>
        <v/>
      </c>
      <c r="G31" s="59">
        <f>-MAX(0,G30)*Assumptions!$C$36</f>
        <v/>
      </c>
      <c r="H31" s="59">
        <f>-MAX(0,H30)*Assumptions!$C$36</f>
        <v/>
      </c>
      <c r="I31" s="59">
        <f>-MAX(0,I30)*Assumptions!$C$36</f>
        <v/>
      </c>
      <c r="J31" s="59">
        <f>-MAX(0,J30)*Assumptions!$C$36</f>
        <v/>
      </c>
      <c r="K31" s="59">
        <f>-MAX(0,K30)*Assumptions!$C$36</f>
        <v/>
      </c>
      <c r="L31" s="59">
        <f>-MAX(0,L30)*Assumptions!$C$36</f>
        <v/>
      </c>
      <c r="M31" s="59">
        <f>-MAX(0,M30)*Assumptions!$C$36</f>
        <v/>
      </c>
      <c r="N31" s="59">
        <f>-MAX(0,N30)*Assumptions!$C$36</f>
        <v/>
      </c>
      <c r="O31" s="59">
        <f>-MAX(0,O30)*Assumptions!$C$36</f>
        <v/>
      </c>
      <c r="P31" s="59">
        <f>-MAX(0,P30)*Assumptions!$C$36</f>
        <v/>
      </c>
      <c r="Q31" s="59">
        <f>-MAX(0,Q30)*Assumptions!$C$36</f>
        <v/>
      </c>
      <c r="R31" s="59">
        <f>-MAX(0,R30)*Assumptions!$C$36</f>
        <v/>
      </c>
      <c r="S31" s="59">
        <f>-MAX(0,S30)*Assumptions!$C$36</f>
        <v/>
      </c>
      <c r="T31" s="59">
        <f>-MAX(0,T30)*Assumptions!$C$36</f>
        <v/>
      </c>
      <c r="U31" s="59">
        <f>-MAX(0,U30)*Assumptions!$C$36</f>
        <v/>
      </c>
      <c r="V31" s="59">
        <f>-MAX(0,V30)*Assumptions!$C$36</f>
        <v/>
      </c>
      <c r="W31" s="59">
        <f>-MAX(0,W30)*Assumptions!$C$36</f>
        <v/>
      </c>
      <c r="X31" s="59">
        <f>-MAX(0,X30)*Assumptions!$C$36</f>
        <v/>
      </c>
    </row>
    <row r="32" ht="15" customHeight="1" s="39">
      <c r="B32" s="60" t="inlineStr">
        <is>
          <t>PAT</t>
        </is>
      </c>
      <c r="C32" s="61">
        <f>C30+C31</f>
        <v/>
      </c>
      <c r="D32" s="61">
        <f>D30+D31</f>
        <v/>
      </c>
      <c r="E32" s="61">
        <f>E30+E31</f>
        <v/>
      </c>
      <c r="F32" s="61">
        <f>F30+F31</f>
        <v/>
      </c>
      <c r="G32" s="61">
        <f>G30+G31</f>
        <v/>
      </c>
      <c r="H32" s="61">
        <f>H30+H31</f>
        <v/>
      </c>
      <c r="I32" s="61">
        <f>I30+I31</f>
        <v/>
      </c>
      <c r="J32" s="61">
        <f>J30+J31</f>
        <v/>
      </c>
      <c r="K32" s="61">
        <f>K30+K31</f>
        <v/>
      </c>
      <c r="L32" s="61">
        <f>L30+L31</f>
        <v/>
      </c>
      <c r="M32" s="61">
        <f>M30+M31</f>
        <v/>
      </c>
      <c r="N32" s="61">
        <f>N30+N31</f>
        <v/>
      </c>
      <c r="O32" s="61">
        <f>O30+O31</f>
        <v/>
      </c>
      <c r="P32" s="61">
        <f>P30+P31</f>
        <v/>
      </c>
      <c r="Q32" s="61">
        <f>Q30+Q31</f>
        <v/>
      </c>
      <c r="R32" s="61">
        <f>R30+R31</f>
        <v/>
      </c>
      <c r="S32" s="61">
        <f>S30+S31</f>
        <v/>
      </c>
      <c r="T32" s="61">
        <f>T30+T31</f>
        <v/>
      </c>
      <c r="U32" s="61">
        <f>U30+U31</f>
        <v/>
      </c>
      <c r="V32" s="61">
        <f>V30+V31</f>
        <v/>
      </c>
      <c r="W32" s="61">
        <f>W30+W31</f>
        <v/>
      </c>
      <c r="X32" s="61">
        <f>X30+X31</f>
        <v/>
      </c>
    </row>
    <row r="34" ht="15" customHeight="1" s="39">
      <c r="B34" s="63" t="inlineStr">
        <is>
          <t>Free Cash Flow to Firm</t>
        </is>
      </c>
      <c r="C34" s="64">
        <f>C17+C31+C21</f>
        <v/>
      </c>
      <c r="D34" s="64">
        <f>D17+D31+D21</f>
        <v/>
      </c>
      <c r="E34" s="64">
        <f>E17+E31+E21</f>
        <v/>
      </c>
      <c r="F34" s="64">
        <f>F17+F31+F21</f>
        <v/>
      </c>
      <c r="G34" s="64">
        <f>G17+G31+G21</f>
        <v/>
      </c>
      <c r="H34" s="64">
        <f>H17+H31+H21</f>
        <v/>
      </c>
      <c r="I34" s="64">
        <f>I17+I31+I21</f>
        <v/>
      </c>
      <c r="J34" s="64">
        <f>J17+J31+J21</f>
        <v/>
      </c>
      <c r="K34" s="64">
        <f>K17+K31+K21</f>
        <v/>
      </c>
      <c r="L34" s="64">
        <f>L17+L31+L21</f>
        <v/>
      </c>
      <c r="M34" s="64">
        <f>M17+M31+M21</f>
        <v/>
      </c>
      <c r="N34" s="64">
        <f>N17+N31+N21</f>
        <v/>
      </c>
      <c r="O34" s="64">
        <f>O17+O31+O21</f>
        <v/>
      </c>
      <c r="P34" s="64">
        <f>P17+P31+P21</f>
        <v/>
      </c>
      <c r="Q34" s="64">
        <f>Q17+Q31+Q21</f>
        <v/>
      </c>
      <c r="R34" s="64">
        <f>R17+R31+R21</f>
        <v/>
      </c>
      <c r="S34" s="64">
        <f>S17+S31+S21</f>
        <v/>
      </c>
      <c r="T34" s="64">
        <f>T17+T31+T21</f>
        <v/>
      </c>
      <c r="U34" s="64">
        <f>U17+U31+U21</f>
        <v/>
      </c>
      <c r="V34" s="64">
        <f>V17+V31+V21</f>
        <v/>
      </c>
      <c r="W34" s="64">
        <f>W17+W31+W21</f>
        <v/>
      </c>
      <c r="X34" s="64">
        <f>X17+X31+X21</f>
        <v/>
      </c>
    </row>
    <row r="35" ht="15" customHeight="1" s="39">
      <c r="B35" s="63" t="inlineStr">
        <is>
          <t>Free Cash Flow to Equity</t>
        </is>
      </c>
      <c r="C35" s="64">
        <f>C34+C25+C26+Assumptions!$C$12*(1+Assumptions!$C$14)*Assumptions!$C$32*Assumptions!$C$13</f>
        <v/>
      </c>
      <c r="D35" s="64">
        <f>D34+D25+D26+Assumptions!$C$12*(1+Assumptions!$C$14)*Assumptions!$C$32*(1-Assumptions!$C$13)</f>
        <v/>
      </c>
      <c r="E35" s="64">
        <f>E34+E25+E26</f>
        <v/>
      </c>
      <c r="F35" s="64">
        <f>F34+F25+F26</f>
        <v/>
      </c>
      <c r="G35" s="64">
        <f>G34+G25+G26</f>
        <v/>
      </c>
      <c r="H35" s="64">
        <f>H34+H25+H26</f>
        <v/>
      </c>
      <c r="I35" s="64">
        <f>I34+I25+I26</f>
        <v/>
      </c>
      <c r="J35" s="64">
        <f>J34+J25+J26</f>
        <v/>
      </c>
      <c r="K35" s="64">
        <f>K34+K25+K26</f>
        <v/>
      </c>
      <c r="L35" s="64">
        <f>L34+L25+L26</f>
        <v/>
      </c>
      <c r="M35" s="64">
        <f>M34+M25+M26</f>
        <v/>
      </c>
      <c r="N35" s="64">
        <f>N34+N25+N26</f>
        <v/>
      </c>
      <c r="O35" s="64">
        <f>O34+O25+O26</f>
        <v/>
      </c>
      <c r="P35" s="64">
        <f>P34+P25+P26</f>
        <v/>
      </c>
      <c r="Q35" s="64">
        <f>Q34+Q25+Q26</f>
        <v/>
      </c>
      <c r="R35" s="64">
        <f>R34+R25+R26</f>
        <v/>
      </c>
      <c r="S35" s="64">
        <f>S34+S25+S26</f>
        <v/>
      </c>
      <c r="T35" s="64">
        <f>T34+T25+T26</f>
        <v/>
      </c>
      <c r="U35" s="64">
        <f>U34+U25+U26</f>
        <v/>
      </c>
      <c r="V35" s="64">
        <f>V34+V25+V26</f>
        <v/>
      </c>
      <c r="W35" s="64">
        <f>W34+W25+W26</f>
        <v/>
      </c>
      <c r="X35" s="64">
        <f>X34+X25+X26</f>
        <v/>
      </c>
    </row>
    <row r="36" ht="15" customHeight="1" s="39">
      <c r="B36" s="56" t="inlineStr">
        <is>
          <t>Discount factor</t>
        </is>
      </c>
      <c r="C36" s="65">
        <f>1/(1+Assumptions!$C$38)^1</f>
        <v/>
      </c>
      <c r="D36" s="65">
        <f>1/(1+Assumptions!$C$38)^2</f>
        <v/>
      </c>
      <c r="E36" s="65">
        <f>1/(1+Assumptions!$C$38)^3</f>
        <v/>
      </c>
      <c r="F36" s="65">
        <f>1/(1+Assumptions!$C$38)^4</f>
        <v/>
      </c>
      <c r="G36" s="65">
        <f>1/(1+Assumptions!$C$38)^5</f>
        <v/>
      </c>
      <c r="H36" s="65">
        <f>1/(1+Assumptions!$C$38)^6</f>
        <v/>
      </c>
      <c r="I36" s="65">
        <f>1/(1+Assumptions!$C$38)^7</f>
        <v/>
      </c>
      <c r="J36" s="65">
        <f>1/(1+Assumptions!$C$38)^8</f>
        <v/>
      </c>
      <c r="K36" s="65">
        <f>1/(1+Assumptions!$C$38)^9</f>
        <v/>
      </c>
      <c r="L36" s="65">
        <f>1/(1+Assumptions!$C$38)^10</f>
        <v/>
      </c>
      <c r="M36" s="65">
        <f>1/(1+Assumptions!$C$38)^11</f>
        <v/>
      </c>
      <c r="N36" s="65">
        <f>1/(1+Assumptions!$C$38)^12</f>
        <v/>
      </c>
      <c r="O36" s="65">
        <f>1/(1+Assumptions!$C$38)^13</f>
        <v/>
      </c>
      <c r="P36" s="65">
        <f>1/(1+Assumptions!$C$38)^14</f>
        <v/>
      </c>
      <c r="Q36" s="65">
        <f>1/(1+Assumptions!$C$38)^15</f>
        <v/>
      </c>
      <c r="R36" s="65">
        <f>1/(1+Assumptions!$C$38)^16</f>
        <v/>
      </c>
      <c r="S36" s="65">
        <f>1/(1+Assumptions!$C$38)^17</f>
        <v/>
      </c>
      <c r="T36" s="65">
        <f>1/(1+Assumptions!$C$38)^18</f>
        <v/>
      </c>
      <c r="U36" s="65">
        <f>1/(1+Assumptions!$C$38)^19</f>
        <v/>
      </c>
      <c r="V36" s="65">
        <f>1/(1+Assumptions!$C$38)^20</f>
        <v/>
      </c>
      <c r="W36" s="65">
        <f>1/(1+Assumptions!$C$38)^21</f>
        <v/>
      </c>
      <c r="X36" s="65">
        <f>1/(1+Assumptions!$C$38)^22</f>
        <v/>
      </c>
    </row>
    <row r="37" ht="15" customHeight="1" s="39">
      <c r="B37" s="56" t="inlineStr">
        <is>
          <t>PV of FCFF</t>
        </is>
      </c>
      <c r="C37" s="59">
        <f>C34*C36</f>
        <v/>
      </c>
      <c r="D37" s="59">
        <f>D34*D36</f>
        <v/>
      </c>
      <c r="E37" s="59">
        <f>E34*E36</f>
        <v/>
      </c>
      <c r="F37" s="59">
        <f>F34*F36</f>
        <v/>
      </c>
      <c r="G37" s="59">
        <f>G34*G36</f>
        <v/>
      </c>
      <c r="H37" s="59">
        <f>H34*H36</f>
        <v/>
      </c>
      <c r="I37" s="59">
        <f>I34*I36</f>
        <v/>
      </c>
      <c r="J37" s="59">
        <f>J34*J36</f>
        <v/>
      </c>
      <c r="K37" s="59">
        <f>K34*K36</f>
        <v/>
      </c>
      <c r="L37" s="59">
        <f>L34*L36</f>
        <v/>
      </c>
      <c r="M37" s="59">
        <f>M34*M36</f>
        <v/>
      </c>
      <c r="N37" s="59">
        <f>N34*N36</f>
        <v/>
      </c>
      <c r="O37" s="59">
        <f>O34*O36</f>
        <v/>
      </c>
      <c r="P37" s="59">
        <f>P34*P36</f>
        <v/>
      </c>
      <c r="Q37" s="59">
        <f>Q34*Q36</f>
        <v/>
      </c>
      <c r="R37" s="59">
        <f>R34*R36</f>
        <v/>
      </c>
      <c r="S37" s="59">
        <f>S34*S36</f>
        <v/>
      </c>
      <c r="T37" s="59">
        <f>T34*T36</f>
        <v/>
      </c>
      <c r="U37" s="59">
        <f>U34*U36</f>
        <v/>
      </c>
      <c r="V37" s="59">
        <f>V34*V36</f>
        <v/>
      </c>
      <c r="W37" s="59">
        <f>W34*W36</f>
        <v/>
      </c>
      <c r="X37" s="59">
        <f>X34*X36</f>
        <v/>
      </c>
    </row>
    <row r="38" ht="15" customHeight="1" s="39">
      <c r="B38" s="56" t="inlineStr">
        <is>
          <t>Cumulative PV</t>
        </is>
      </c>
      <c r="C38" s="59">
        <f>C37</f>
        <v/>
      </c>
      <c r="D38" s="59">
        <f>C38+D37</f>
        <v/>
      </c>
      <c r="E38" s="59">
        <f>D38+E37</f>
        <v/>
      </c>
      <c r="F38" s="59">
        <f>E38+F37</f>
        <v/>
      </c>
      <c r="G38" s="59">
        <f>F38+G37</f>
        <v/>
      </c>
      <c r="H38" s="59">
        <f>G38+H37</f>
        <v/>
      </c>
      <c r="I38" s="59">
        <f>H38+I37</f>
        <v/>
      </c>
      <c r="J38" s="59">
        <f>I38+J37</f>
        <v/>
      </c>
      <c r="K38" s="59">
        <f>J38+K37</f>
        <v/>
      </c>
      <c r="L38" s="59">
        <f>K38+L37</f>
        <v/>
      </c>
      <c r="M38" s="59">
        <f>L38+M37</f>
        <v/>
      </c>
      <c r="N38" s="59">
        <f>M38+N37</f>
        <v/>
      </c>
      <c r="O38" s="59">
        <f>N38+O37</f>
        <v/>
      </c>
      <c r="P38" s="59">
        <f>O38+P37</f>
        <v/>
      </c>
      <c r="Q38" s="59">
        <f>P38+Q37</f>
        <v/>
      </c>
      <c r="R38" s="59">
        <f>Q38+R37</f>
        <v/>
      </c>
      <c r="S38" s="59">
        <f>R38+S37</f>
        <v/>
      </c>
      <c r="T38" s="59">
        <f>S38+T37</f>
        <v/>
      </c>
      <c r="U38" s="59">
        <f>T38+U37</f>
        <v/>
      </c>
      <c r="V38" s="59">
        <f>U38+V37</f>
        <v/>
      </c>
      <c r="W38" s="59">
        <f>V38+W37</f>
        <v/>
      </c>
      <c r="X38" s="59">
        <f>W38+X37</f>
        <v/>
      </c>
    </row>
    <row r="40" ht="15" customHeight="1" s="39">
      <c r="B40" s="45" t="inlineStr">
        <is>
          <t>DSCR (smoothed CFADS / debt service)</t>
        </is>
      </c>
      <c r="C40" s="66" t="n">
        <v>0</v>
      </c>
      <c r="D40" s="66" t="n">
        <v>0</v>
      </c>
      <c r="E40" s="66">
        <f>IF((E25+E26)=0,"",(E17-E15+E16+E31)/-(E25+E26))</f>
        <v/>
      </c>
      <c r="F40" s="66">
        <f>IF((F25+F26)=0,"",(F17-F15+F16+F31)/-(F25+F26))</f>
        <v/>
      </c>
      <c r="G40" s="66">
        <f>IF((G25+G26)=0,"",(G17-G15+G16+G31)/-(G25+G26))</f>
        <v/>
      </c>
      <c r="H40" s="66">
        <f>IF((H25+H26)=0,"",(H17-H15+H16+H31)/-(H25+H26))</f>
        <v/>
      </c>
      <c r="I40" s="66">
        <f>IF((I25+I26)=0,"",(I17-I15+I16+I31)/-(I25+I26))</f>
        <v/>
      </c>
      <c r="J40" s="66">
        <f>IF((J25+J26)=0,"",(J17-J15+J16+J31)/-(J25+J26))</f>
        <v/>
      </c>
      <c r="K40" s="66">
        <f>IF((K25+K26)=0,"",(K17-K15+K16+K31)/-(K25+K26))</f>
        <v/>
      </c>
      <c r="L40" s="66">
        <f>IF((L25+L26)=0,"",(L17-L15+L16+L31)/-(L25+L26))</f>
        <v/>
      </c>
      <c r="M40" s="66">
        <f>IF((M25+M26)=0,"",(M17-M15+M16+M31)/-(M25+M26))</f>
        <v/>
      </c>
      <c r="N40" s="66">
        <f>IF((N25+N26)=0,"",(N17-N15+N16+N31)/-(N25+N26))</f>
        <v/>
      </c>
      <c r="O40" s="66">
        <f>IF((O25+O26)=0,"",(O17-O15+O16+O31)/-(O25+O26))</f>
        <v/>
      </c>
      <c r="P40" s="66">
        <f>IF((P25+P26)=0,"",(P17-P15+P16+P31)/-(P25+P26))</f>
        <v/>
      </c>
      <c r="Q40" s="66">
        <f>IF((Q25+Q26)=0,"",(Q17-Q15+Q16+Q31)/-(Q25+Q26))</f>
        <v/>
      </c>
      <c r="R40" s="66">
        <f>IF((R25+R26)=0,"",(R17-R15+R16+R31)/-(R25+R26))</f>
        <v/>
      </c>
      <c r="S40" s="66">
        <f>IF((S25+S26)=0,"",(S17-S15+S16+S31)/-(S25+S26))</f>
        <v/>
      </c>
      <c r="T40" s="66">
        <f>IF((T25+T26)=0,"",(T17-T15+T16+T31)/-(T25+T26))</f>
        <v/>
      </c>
      <c r="U40" s="66">
        <f>IF((U25+U26)=0,"",(U17-U15+U16+U31)/-(U25+U26))</f>
        <v/>
      </c>
      <c r="V40" s="66">
        <f>IF((V25+V26)=0,"",(V17-V15+V16+V31)/-(V25+V26))</f>
        <v/>
      </c>
      <c r="W40" s="66">
        <f>IF((W25+W26)=0,"",(W17-W15+W16+W31)/-(W25+W26))</f>
        <v/>
      </c>
      <c r="X40" s="66">
        <f>IF((X25+X26)=0,"",(X17-X15+X16+X31)/-(X25+X26))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8" min="1" max="1"/>
    <col width="40" customWidth="1" style="38" min="2" max="2"/>
    <col width="16" customWidth="1" style="38" min="3" max="3"/>
    <col width="50" customWidth="1" style="38" min="4" max="4"/>
  </cols>
  <sheetData>
    <row r="1"/>
    <row r="2" ht="24" customHeight="1" s="39">
      <c r="B2" s="40" t="inlineStr">
        <is>
          <t>RETURNS SUMMARY</t>
        </is>
      </c>
      <c r="C2" s="41" t="n"/>
      <c r="D2" s="41" t="n"/>
    </row>
    <row r="3"/>
    <row r="4" ht="15" customHeight="1" s="39">
      <c r="B4" s="45" t="inlineStr">
        <is>
          <t>Total project cost (incl. contingency)</t>
        </is>
      </c>
      <c r="C4" s="67">
        <f>Assumptions!C12*(1+Assumptions!C14)</f>
        <v/>
      </c>
      <c r="D4" s="42" t="inlineStr">
        <is>
          <t>Equity + debt funded</t>
        </is>
      </c>
    </row>
    <row r="5" ht="15" customHeight="1" s="39">
      <c r="B5" s="45" t="inlineStr">
        <is>
          <t>Peak net revenue (final year)</t>
        </is>
      </c>
      <c r="C5" s="67">
        <f>'Cash Flow'!X12</f>
        <v/>
      </c>
      <c r="D5" s="42" t="inlineStr">
        <is>
          <t>Terminal-year toll income</t>
        </is>
      </c>
    </row>
    <row r="6"/>
    <row r="7" ht="15" customHeight="1" s="39">
      <c r="B7" s="68" t="inlineStr">
        <is>
          <t>NPV @ WACC</t>
        </is>
      </c>
      <c r="C7" s="69">
        <f>SUM('Cash Flow'!C37:X37)</f>
        <v/>
      </c>
      <c r="D7" s="42" t="inlineStr">
        <is>
          <t>Positive = project creates value at the hurdle rate</t>
        </is>
      </c>
    </row>
    <row r="8" ht="15" customHeight="1" s="39">
      <c r="B8" s="68" t="inlineStr">
        <is>
          <t>Project IRR (FCFF)</t>
        </is>
      </c>
      <c r="C8" s="70">
        <f>IRR('Cash Flow'!C34:X34)</f>
        <v/>
      </c>
      <c r="D8" s="42" t="inlineStr">
        <is>
          <t>Compare against WACC</t>
        </is>
      </c>
    </row>
    <row r="9" ht="15" customHeight="1" s="39">
      <c r="B9" s="68" t="inlineStr">
        <is>
          <t>Equity IRR (FCFE)</t>
        </is>
      </c>
      <c r="C9" s="70">
        <f>IRR('Cash Flow'!C35:X35)</f>
        <v/>
      </c>
      <c r="D9" s="42" t="inlineStr">
        <is>
          <t>Compare against cost of equity</t>
        </is>
      </c>
    </row>
    <row r="10"/>
    <row r="11" ht="15" customHeight="1" s="39">
      <c r="B11" s="45" t="inlineStr">
        <is>
          <t>WACC (hurdle)</t>
        </is>
      </c>
      <c r="C11" s="71">
        <f>Assumptions!C38</f>
        <v/>
      </c>
      <c r="D11" s="42" t="inlineStr">
        <is>
          <t>From Assumptions</t>
        </is>
      </c>
    </row>
    <row r="12" ht="15" customHeight="1" s="39">
      <c r="B12" s="45" t="inlineStr">
        <is>
          <t>Spread over WACC</t>
        </is>
      </c>
      <c r="C12" s="71">
        <f>IRR('Cash Flow'!C34:X34)-Assumptions!C38</f>
        <v/>
      </c>
      <c r="D12" s="42" t="inlineStr">
        <is>
          <t>Project IRR less hurdle rate</t>
        </is>
      </c>
    </row>
    <row r="13"/>
    <row r="14" ht="15" customHeight="1" s="39">
      <c r="B14" s="45" t="inlineStr">
        <is>
          <t>Minimum DSCR (operating years)</t>
        </is>
      </c>
      <c r="C14" s="72">
        <f>MIN('Cash Flow'!E40:X40)</f>
        <v/>
      </c>
      <c r="D14" s="42" t="inlineStr">
        <is>
          <t>Lenders typically covenant a floor around 1.20x-1.30x</t>
        </is>
      </c>
    </row>
    <row r="15" ht="15" customHeight="1" s="39">
      <c r="B15" s="45" t="inlineStr">
        <is>
          <t>Average DSCR (operating years)</t>
        </is>
      </c>
      <c r="C15" s="72">
        <f>AVERAGE('Cash Flow'!E40:X40)</f>
        <v/>
      </c>
      <c r="D15" s="42" t="inlineStr">
        <is>
          <t>Debt service headroom</t>
        </is>
      </c>
    </row>
    <row r="16"/>
    <row r="17" ht="15" customHeight="1" s="39">
      <c r="B17" s="45" t="inlineStr">
        <is>
          <t>DSCR covenant floor (lender)</t>
        </is>
      </c>
      <c r="C17" s="72">
        <f>0.2*6</f>
        <v/>
      </c>
      <c r="D17" s="42" t="inlineStr">
        <is>
          <t>Illustrative 1.20x floor - typical for Indian BOT term loans</t>
        </is>
      </c>
    </row>
    <row r="18" ht="15" customHeight="1" s="39">
      <c r="B18" s="45" t="inlineStr">
        <is>
          <t>Operating years breaching 1.20x</t>
        </is>
      </c>
      <c r="C18" s="73">
        <f>COUNTIF('Cash Flow'!E40:X40,"&lt;1.2")</f>
        <v/>
      </c>
      <c r="D18" s="42" t="inlineStr">
        <is>
          <t>Years where CFADS fails the covenant - drives DSRA sizing</t>
        </is>
      </c>
    </row>
    <row r="19"/>
    <row r="20" ht="15" customHeight="1" s="39">
      <c r="B20" s="45" t="inlineStr">
        <is>
          <t>Discounted payback (year)</t>
        </is>
      </c>
      <c r="C20" s="73">
        <f>IFERROR(MATCH(TRUE(),INDEX('Cash Flow'!C38:X38&gt;0,0),0),"beyond concession")</f>
        <v/>
      </c>
      <c r="D20" s="42" t="inlineStr">
        <is>
          <t>First year cumulative PV turns positive</t>
        </is>
      </c>
    </row>
    <row r="21"/>
    <row r="22"/>
    <row r="23" ht="15" customHeight="1" s="39">
      <c r="B23" s="43" t="inlineStr">
        <is>
          <t>SENSITIVITY — Project IRR</t>
        </is>
      </c>
      <c r="C23" s="44" t="n"/>
      <c r="D23" s="44" t="n"/>
      <c r="E23" s="44" t="n"/>
      <c r="F23" s="44" t="n"/>
      <c r="G23" s="44" t="n"/>
      <c r="H23" s="44" t="n"/>
    </row>
    <row r="24" ht="15" customHeight="1" s="39">
      <c r="B24" s="42" t="inlineStr">
        <is>
          <t>Rows: traffic CAGR   |   Columns: toll escalation</t>
        </is>
      </c>
    </row>
    <row r="25" ht="15" customHeight="1" s="39">
      <c r="B25" s="55" t="inlineStr">
        <is>
          <t>Traffic \ Toll</t>
        </is>
      </c>
      <c r="C25" s="74" t="n">
        <v>0.02</v>
      </c>
      <c r="D25" s="74" t="n">
        <v>0.03</v>
      </c>
      <c r="E25" s="74" t="n">
        <v>0.04</v>
      </c>
      <c r="F25" s="74" t="n">
        <v>0.05</v>
      </c>
      <c r="G25" s="74" t="n">
        <v>0.06</v>
      </c>
    </row>
    <row r="26" ht="15" customHeight="1" s="39">
      <c r="B26" s="75" t="n">
        <v>0.035</v>
      </c>
      <c r="C26" s="76" t="n">
        <v>0.101076</v>
      </c>
      <c r="D26" s="76" t="n">
        <v>0.115282</v>
      </c>
      <c r="E26" s="76" t="n">
        <v>0.128282</v>
      </c>
      <c r="F26" s="76" t="n">
        <v>0.140666</v>
      </c>
      <c r="G26" s="76" t="n">
        <v>0.152479</v>
      </c>
    </row>
    <row r="27" ht="15" customHeight="1" s="39">
      <c r="B27" s="75" t="n">
        <v>0.045</v>
      </c>
      <c r="C27" s="76" t="n">
        <v>0.115086</v>
      </c>
      <c r="D27" s="76" t="n">
        <v>0.128221</v>
      </c>
      <c r="E27" s="76" t="n">
        <v>0.140724</v>
      </c>
      <c r="F27" s="76" t="n">
        <v>0.152646</v>
      </c>
      <c r="G27" s="76" t="n">
        <v>0.164141</v>
      </c>
    </row>
    <row r="28" ht="15" customHeight="1" s="39">
      <c r="B28" s="75" t="n">
        <v>0.055</v>
      </c>
      <c r="C28" s="76" t="n">
        <v>0.127916</v>
      </c>
      <c r="D28" s="76" t="n">
        <v>0.140548</v>
      </c>
      <c r="E28" s="76" t="n">
        <v>0.15259</v>
      </c>
      <c r="F28" s="76" t="n">
        <v>0.164195</v>
      </c>
      <c r="G28" s="76" t="n">
        <v>0.175525</v>
      </c>
    </row>
    <row r="29" ht="15" customHeight="1" s="39">
      <c r="B29" s="75" t="n">
        <v>0.065</v>
      </c>
      <c r="C29" s="76" t="n">
        <v>0.140137</v>
      </c>
      <c r="D29" s="76" t="n">
        <v>0.152311</v>
      </c>
      <c r="E29" s="76" t="n">
        <v>0.164032</v>
      </c>
      <c r="F29" s="76" t="n">
        <v>0.175472</v>
      </c>
      <c r="G29" s="76" t="n">
        <v>0.186677</v>
      </c>
    </row>
    <row r="30" ht="15" customHeight="1" s="39">
      <c r="B30" s="75" t="n">
        <v>0.075</v>
      </c>
      <c r="C30" s="76" t="n">
        <v>0.151809</v>
      </c>
      <c r="D30" s="76" t="n">
        <v>0.163652</v>
      </c>
      <c r="E30" s="76" t="n">
        <v>0.175206</v>
      </c>
      <c r="F30" s="76" t="n">
        <v>0.186521</v>
      </c>
      <c r="G30" s="76" t="n">
        <v>0.197632</v>
      </c>
    </row>
    <row r="32" ht="15" customHeight="1" s="39">
      <c r="B32" s="42" t="inlineStr">
        <is>
          <t>Sensitivity grid is populated by the Monte Carlo script (run_monte_carlo.py) — values written as static results.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2026-07-30T19:36:20Z</dcterms:created>
  <dcterms:modified xmlns:dcterms="http://purl.org/dc/terms/" xmlns:xsi="http://www.w3.org/2001/XMLSchema-instance" xsi:type="dcterms:W3CDTF">2026-07-30T19:37:33Z</dcterms:modified>
  <cp:revision>0</cp:revision>
</cp:coreProperties>
</file>